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ralotdelperusa-my.sharepoint.com/personal/diego_morales_latinka_com_pe/Documents/Escritorio/plataforma_tinka/"/>
    </mc:Choice>
  </mc:AlternateContent>
  <xr:revisionPtr revIDLastSave="0" documentId="8_{1CF0AA17-6AB9-4F90-98F5-0BBC9A4BE474}" xr6:coauthVersionLast="47" xr6:coauthVersionMax="47" xr10:uidLastSave="{00000000-0000-0000-0000-000000000000}"/>
  <bookViews>
    <workbookView xWindow="-108" yWindow="-108" windowWidth="23256" windowHeight="13896" xr2:uid="{422C9E39-637E-4E91-948F-EF20F81F2DA6}"/>
  </bookViews>
  <sheets>
    <sheet name="Piloto" sheetId="1" r:id="rId1"/>
    <sheet name="Detalle1" sheetId="6" r:id="rId2"/>
    <sheet name="Detalle2" sheetId="7" r:id="rId3"/>
    <sheet name="Detalle3" sheetId="8" r:id="rId4"/>
    <sheet name="Cuenta" sheetId="4" r:id="rId5"/>
    <sheet name="Terminales" sheetId="2" r:id="rId6"/>
    <sheet name="Ganadores#1" sheetId="3" r:id="rId7"/>
    <sheet name="Ganadores#2" sheetId="5" r:id="rId8"/>
  </sheets>
  <definedNames>
    <definedName name="_xlnm._FilterDatabase" localSheetId="7" hidden="1">'Ganadores#2'!$B$2:$C$2</definedName>
    <definedName name="_xlnm._FilterDatabase" localSheetId="0" hidden="1">Piloto!$A$2:$M$200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1" l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68" i="1"/>
  <c r="D68" i="1" s="1"/>
  <c r="C61" i="1"/>
  <c r="D61" i="1" s="1"/>
  <c r="C11" i="5"/>
  <c r="C9" i="5"/>
  <c r="C13" i="5"/>
  <c r="C10" i="5"/>
  <c r="C8" i="5"/>
  <c r="C7" i="5"/>
  <c r="C14" i="5"/>
  <c r="C6" i="5"/>
  <c r="C17" i="5"/>
  <c r="C5" i="5"/>
  <c r="C12" i="5"/>
  <c r="C4" i="5"/>
  <c r="C16" i="5"/>
  <c r="C3" i="5"/>
  <c r="C15" i="5"/>
  <c r="E14" i="3"/>
  <c r="A3" i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D15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180" i="1"/>
  <c r="D180" i="1" s="1"/>
  <c r="C181" i="1"/>
  <c r="D181" i="1" s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D191" i="1" s="1"/>
  <c r="C192" i="1"/>
  <c r="D192" i="1" s="1"/>
  <c r="C193" i="1"/>
  <c r="D193" i="1" s="1"/>
  <c r="C194" i="1"/>
  <c r="D194" i="1" s="1"/>
  <c r="C195" i="1"/>
  <c r="D195" i="1" s="1"/>
  <c r="C196" i="1"/>
  <c r="D196" i="1" s="1"/>
  <c r="C197" i="1"/>
  <c r="D197" i="1" s="1"/>
  <c r="C198" i="1"/>
  <c r="D198" i="1" s="1"/>
  <c r="C199" i="1"/>
  <c r="D199" i="1" s="1"/>
  <c r="C200" i="1"/>
  <c r="D200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3" i="1"/>
  <c r="D3" i="1" s="1"/>
  <c r="A4" i="1" l="1"/>
  <c r="A5" i="1" s="1"/>
  <c r="A6" i="1" l="1"/>
  <c r="A7" i="1" s="1"/>
  <c r="A8" i="1" s="1"/>
  <c r="A9" i="1" l="1"/>
  <c r="A10" i="1" s="1"/>
  <c r="A11" i="1" s="1"/>
  <c r="A12" i="1" s="1"/>
  <c r="A13" i="1" l="1"/>
  <c r="A14" i="1" s="1"/>
  <c r="A15" i="1" l="1"/>
  <c r="A16" i="1" s="1"/>
  <c r="A17" i="1" l="1"/>
  <c r="A18" i="1" l="1"/>
  <c r="A19" i="1" l="1"/>
  <c r="A20" i="1" l="1"/>
  <c r="A21" i="1" l="1"/>
  <c r="A22" i="1" l="1"/>
  <c r="A23" i="1" s="1"/>
  <c r="A24" i="1" s="1"/>
  <c r="A25" i="1" s="1"/>
  <c r="A26" i="1" s="1"/>
  <c r="A27" i="1" s="1"/>
  <c r="A28" i="1" s="1"/>
</calcChain>
</file>

<file path=xl/sharedStrings.xml><?xml version="1.0" encoding="utf-8"?>
<sst xmlns="http://schemas.openxmlformats.org/spreadsheetml/2006/main" count="524" uniqueCount="223">
  <si>
    <t>TERMINAL</t>
  </si>
  <si>
    <t>NOMBRE DE TERMINAL</t>
  </si>
  <si>
    <t>REAL PLAZA SALAVERRY</t>
  </si>
  <si>
    <t>TIENDA MAGDALENA AV. JOSE GALVEZ N°695</t>
  </si>
  <si>
    <t>WONG SAN MIGUEL I-PUERTA 2</t>
  </si>
  <si>
    <t>HIPERMERCADO METRO SA - LIMATAMBO I-PUERTA PRINCIPAL</t>
  </si>
  <si>
    <t>TIENDA WONG ALDABAS SURCO AV BENAVIDES CDRA 52</t>
  </si>
  <si>
    <t>TIENDA PLAZA VEA CAMINOS DEL INCA</t>
  </si>
  <si>
    <t>TIENDA METRO SAN MIGUEL AV LA MARINA</t>
  </si>
  <si>
    <t>TIENDA METRO SHELL</t>
  </si>
  <si>
    <t>TIENDA PENTA MALL VIÑEDOS SURCO AV LOS PROCERES</t>
  </si>
  <si>
    <t>TIENDA JESUS MARIA AV REPUBLICA DOMINICANA</t>
  </si>
  <si>
    <t>TIENDA SURCO AV ENCALADA</t>
  </si>
  <si>
    <t>BOTICAS PERU ALM 3 MAGDALENA 3</t>
  </si>
  <si>
    <t>VIVANDA - DOS DE MAYO</t>
  </si>
  <si>
    <t>TIENDA SJM AV. VARGAS MACHUCA N°314</t>
  </si>
  <si>
    <t>TIENDA LA MOLINA AV LA MOLINA</t>
  </si>
  <si>
    <t>SUPERVISOR</t>
  </si>
  <si>
    <t>JESUS YNOCENCIO</t>
  </si>
  <si>
    <t>GONZALO LOPEZ</t>
  </si>
  <si>
    <t>LENIA GOMERO</t>
  </si>
  <si>
    <t>ROGGER GARCIA</t>
  </si>
  <si>
    <t>SONALI APAZA</t>
  </si>
  <si>
    <t>LEYDI ESTEBAN</t>
  </si>
  <si>
    <t>IVAN SALCEDO</t>
  </si>
  <si>
    <t>PROMOTORA</t>
  </si>
  <si>
    <t>FECHA DE CARGA</t>
  </si>
  <si>
    <t>PRODUCTO</t>
  </si>
  <si>
    <t>GANA DIARIO</t>
  </si>
  <si>
    <t>MONTO</t>
  </si>
  <si>
    <t>NOMBRE GANADOR</t>
  </si>
  <si>
    <t>FECHA PUBLICACIÓN</t>
  </si>
  <si>
    <t>¿CUMPLE REQUISITOS?</t>
  </si>
  <si>
    <t>Ricardo Redhead</t>
  </si>
  <si>
    <t>NOMBRE CARPETA</t>
  </si>
  <si>
    <t>20260214-01</t>
  </si>
  <si>
    <t>Monica Maria Damian De Los Rios</t>
  </si>
  <si>
    <t>Ruth Liz Blas Palacios</t>
  </si>
  <si>
    <t>TINKA</t>
  </si>
  <si>
    <t>Rocio Petronila Ilma Garcia</t>
  </si>
  <si>
    <t>20260214-04</t>
  </si>
  <si>
    <t>20260214-02</t>
  </si>
  <si>
    <t>20260214-03</t>
  </si>
  <si>
    <t>Luz Mery Saico Martinez</t>
  </si>
  <si>
    <t>20260214-05</t>
  </si>
  <si>
    <t>RAPITINKA</t>
  </si>
  <si>
    <t>Rita Elvira Violeta Huaman</t>
  </si>
  <si>
    <t>Oscar Eduardo Soltau Salcedo</t>
  </si>
  <si>
    <t>Martin Sanchez Pari</t>
  </si>
  <si>
    <t>Juan Flores Hernandez</t>
  </si>
  <si>
    <t>Willsom Barrantes Mendoza</t>
  </si>
  <si>
    <t>20260217-01</t>
  </si>
  <si>
    <t>Aida Doris Vergara Vega</t>
  </si>
  <si>
    <t>20260218-01</t>
  </si>
  <si>
    <t>20260218-02</t>
  </si>
  <si>
    <t>Lorenzo Antonio</t>
  </si>
  <si>
    <t>Felipe Gallegos</t>
  </si>
  <si>
    <t>Rosa Nelly Campos Bravo</t>
  </si>
  <si>
    <t>Maria Aurora Reyes Flores</t>
  </si>
  <si>
    <t>Hugo Gomez Estremadoyro</t>
  </si>
  <si>
    <t>Doris Liliana Hernandez Gomez</t>
  </si>
  <si>
    <t>20260219-01</t>
  </si>
  <si>
    <t>20260219-02</t>
  </si>
  <si>
    <t>20260220-01</t>
  </si>
  <si>
    <t>Max Villa</t>
  </si>
  <si>
    <t>Pacho Roberto</t>
  </si>
  <si>
    <t>Harold Paul Nieves Tejada</t>
  </si>
  <si>
    <t>Oscar Walter Acosta Velasquez</t>
  </si>
  <si>
    <t>20260222-01</t>
  </si>
  <si>
    <t>Elizabeth Abelina Huaman Gamarra</t>
  </si>
  <si>
    <t>20260222-02</t>
  </si>
  <si>
    <t>20260303-01</t>
  </si>
  <si>
    <t>20260303-02</t>
  </si>
  <si>
    <t>KÁBALA</t>
  </si>
  <si>
    <t>Edgar Villa</t>
  </si>
  <si>
    <t>20260228-01</t>
  </si>
  <si>
    <t>20260228-02</t>
  </si>
  <si>
    <t>Peter Jerson Joya</t>
  </si>
  <si>
    <t>Julia H. Martinez</t>
  </si>
  <si>
    <t>Jeannet</t>
  </si>
  <si>
    <t>ARCHIVO FOTO</t>
  </si>
  <si>
    <t>20260220-02</t>
  </si>
  <si>
    <t>Si</t>
  </si>
  <si>
    <t>Teresa</t>
  </si>
  <si>
    <t>20260305-01</t>
  </si>
  <si>
    <t>Paulino</t>
  </si>
  <si>
    <t>20260305-02</t>
  </si>
  <si>
    <t>Alejandrina Gladys Cuadros Ogos</t>
  </si>
  <si>
    <t>Fabio</t>
  </si>
  <si>
    <t>Jose</t>
  </si>
  <si>
    <t>20260307-01</t>
  </si>
  <si>
    <t>Leojan</t>
  </si>
  <si>
    <t>20260312-01</t>
  </si>
  <si>
    <t>No</t>
  </si>
  <si>
    <t>Jade</t>
  </si>
  <si>
    <t>20260306-01</t>
  </si>
  <si>
    <t>Claudia</t>
  </si>
  <si>
    <t>20260330-01</t>
  </si>
  <si>
    <t>LUZ MERY SAICO MARTINEZ</t>
  </si>
  <si>
    <t>BLANCA VELASQUEZ SALAS</t>
  </si>
  <si>
    <t>JOAO ALEXANDER TIRADO ASCENCIO</t>
  </si>
  <si>
    <t>HERMINIA HUARINGA GALARZA</t>
  </si>
  <si>
    <t>ROCIO PETRONILA ILMA GARCIA</t>
  </si>
  <si>
    <t>AIDA DORIS VERGARA VEGA</t>
  </si>
  <si>
    <t>REYNA BERNARDA YARLEQUE CARBONELL</t>
  </si>
  <si>
    <t>Alejandrina Gladys Cuadros Ogosi</t>
  </si>
  <si>
    <t>Roxana Milagros Huamani Mejia</t>
  </si>
  <si>
    <t>GANADORES PRIMERA ETAPA</t>
  </si>
  <si>
    <t>Carlos</t>
  </si>
  <si>
    <t>20260401-01</t>
  </si>
  <si>
    <t>Rita</t>
  </si>
  <si>
    <t>20260401-02</t>
  </si>
  <si>
    <t>Carla</t>
  </si>
  <si>
    <t>20260402-01</t>
  </si>
  <si>
    <t>Maria Lorena Alvarado Velasquez</t>
  </si>
  <si>
    <t>20260323-01</t>
  </si>
  <si>
    <t>Buenos días guerrer@! Gracias a tu contribución con las fotos has ganado un premio de S/. 50. Porfavor, pásame tu número de cuenta de Agora o donde prefieras recibir el premio para ir abonándolo. ¡Sigamos enviando más fotos de ganadores!</t>
  </si>
  <si>
    <t>Aristela</t>
  </si>
  <si>
    <t>20260410-01</t>
  </si>
  <si>
    <t>Maria</t>
  </si>
  <si>
    <t>20260411-01</t>
  </si>
  <si>
    <t>20260415-01</t>
  </si>
  <si>
    <t>Angel</t>
  </si>
  <si>
    <t>20260415-02</t>
  </si>
  <si>
    <t>Etiquetas de fila</t>
  </si>
  <si>
    <t>#N/D</t>
  </si>
  <si>
    <t>(en blanco)</t>
  </si>
  <si>
    <t>Total general</t>
  </si>
  <si>
    <t>N° GanadoresXterminal</t>
  </si>
  <si>
    <t>20260420-01</t>
  </si>
  <si>
    <t>Florentino</t>
  </si>
  <si>
    <t>20260420-02</t>
  </si>
  <si>
    <t xml:space="preserve">Ricardo </t>
  </si>
  <si>
    <t>Juan</t>
  </si>
  <si>
    <t>20260421-01</t>
  </si>
  <si>
    <t>20260423-01</t>
  </si>
  <si>
    <t>Juan Carlos</t>
  </si>
  <si>
    <t>Cecilia</t>
  </si>
  <si>
    <t>20260425-01</t>
  </si>
  <si>
    <t>20260425-02</t>
  </si>
  <si>
    <t>Hamilton</t>
  </si>
  <si>
    <t>20260426-01</t>
  </si>
  <si>
    <t>nro</t>
  </si>
  <si>
    <t>nombre</t>
  </si>
  <si>
    <t>GANADORES SEGUNDA ETAPA</t>
  </si>
  <si>
    <t>TIENDA METRO JESUS MARIA AV PERSHING</t>
  </si>
  <si>
    <t>WONG CHACARILLA II-PUERTA PRINCIPAL</t>
  </si>
  <si>
    <t>CRISLY COTRINA</t>
  </si>
  <si>
    <t>WENDY OLMEDO</t>
  </si>
  <si>
    <t>WONG OVALO GUTIERREZ-IZQUIERDA PTA PRINCIPAL</t>
  </si>
  <si>
    <t>TIENDA METRO SURQUILLO CL LAS TIENDAS</t>
  </si>
  <si>
    <t>ISLA METRO FAUCCET</t>
  </si>
  <si>
    <t>MILAGROS URBANO</t>
  </si>
  <si>
    <t>CLAUDIO TELLO</t>
  </si>
  <si>
    <t>ALINA UNTAMA</t>
  </si>
  <si>
    <t>20260505-01</t>
  </si>
  <si>
    <t>Sammy</t>
  </si>
  <si>
    <t>20260510-01</t>
  </si>
  <si>
    <t>20260511-01</t>
  </si>
  <si>
    <t>20260515-01</t>
  </si>
  <si>
    <t>Tomas</t>
  </si>
  <si>
    <t>ORIGINAL EN FÍSICO</t>
  </si>
  <si>
    <t>1779135652613-02</t>
  </si>
  <si>
    <t>Mavy Liz Sanchez Lopez</t>
  </si>
  <si>
    <t>Cristian Ayquipa Cucho</t>
  </si>
  <si>
    <t>Judit Maria Villanueva Hinostroza</t>
  </si>
  <si>
    <t>Jessica Melchor Cordova</t>
  </si>
  <si>
    <t>Luz</t>
  </si>
  <si>
    <t>20260519-01</t>
  </si>
  <si>
    <t>Pacifico</t>
  </si>
  <si>
    <t>Yeremy Nayelly Paz Marquez</t>
  </si>
  <si>
    <t>20260527-01</t>
  </si>
  <si>
    <t xml:space="preserve">Martin </t>
  </si>
  <si>
    <t>20260528-01</t>
  </si>
  <si>
    <t>Milagros Urbano</t>
  </si>
  <si>
    <t>monica Damian De Los Rios</t>
  </si>
  <si>
    <t>Humbert</t>
  </si>
  <si>
    <t>20260602-01</t>
  </si>
  <si>
    <t xml:space="preserve">César </t>
  </si>
  <si>
    <t>20260604-01</t>
  </si>
  <si>
    <t>20260603-01</t>
  </si>
  <si>
    <t>Luis</t>
  </si>
  <si>
    <t>Ronaldo</t>
  </si>
  <si>
    <t>Rodrigo</t>
  </si>
  <si>
    <t>20260615-01</t>
  </si>
  <si>
    <t>Maria Elena</t>
  </si>
  <si>
    <t>20260615-02</t>
  </si>
  <si>
    <t>Roberto</t>
  </si>
  <si>
    <t>20260617-01</t>
  </si>
  <si>
    <t>Antonio</t>
  </si>
  <si>
    <t>20260617-02</t>
  </si>
  <si>
    <t>20260617-03</t>
  </si>
  <si>
    <t>PUBLICADO</t>
  </si>
  <si>
    <t>20260618-01</t>
  </si>
  <si>
    <t>Julio Cesar</t>
  </si>
  <si>
    <t>20260623-01</t>
  </si>
  <si>
    <t>20260621-01</t>
  </si>
  <si>
    <t>James</t>
  </si>
  <si>
    <t>20260624-01</t>
  </si>
  <si>
    <t>Julia Ruth Hurtado Huambachano</t>
  </si>
  <si>
    <t>20260625-01</t>
  </si>
  <si>
    <t>20260626-01</t>
  </si>
  <si>
    <t>Cynthia</t>
  </si>
  <si>
    <t>20260627-01</t>
  </si>
  <si>
    <t>20260627-02</t>
  </si>
  <si>
    <t>Janneth</t>
  </si>
  <si>
    <t>Robinson</t>
  </si>
  <si>
    <t>20260628-01</t>
  </si>
  <si>
    <t>20260629-01</t>
  </si>
  <si>
    <t>Mercedes</t>
  </si>
  <si>
    <t>20260630-01</t>
  </si>
  <si>
    <t>TIENDA MASS LA MARINA</t>
  </si>
  <si>
    <t>Detalles para N° GanadoresXterminal - NOMBRE DE TERMINAL: TIENDA WONG ALDABAS SURCO AV BENAVIDES CDRA 52</t>
  </si>
  <si>
    <t>Detalles para N° GanadoresXterminal - NOMBRE DE TERMINAL: HIPERMERCADO METRO SA - LIMATAMBO I-PUERTA PRINCIPAL</t>
  </si>
  <si>
    <t>Detalles para N° GanadoresXterminal - NOMBRE DE TERMINAL: TIENDA MAGDALENA AV. JOSE GALVEZ N°695</t>
  </si>
  <si>
    <t>20260808-01</t>
  </si>
  <si>
    <t>Andres</t>
  </si>
  <si>
    <t>20260911-01</t>
  </si>
  <si>
    <t>Enrique</t>
  </si>
  <si>
    <t>1790699317309.jpg</t>
  </si>
  <si>
    <t>20260912-01</t>
  </si>
  <si>
    <t>1790699620287.jpg</t>
  </si>
  <si>
    <t>GANADORES TERCERA ETAPA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</si>
</sst>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00000"/>
      <name val="Aptos"/>
      <family val="2"/>
    </font>
    <font>
      <sz val="11"/>
      <name val="Aptos Display"/>
      <family val="2"/>
      <scheme val="major"/>
    </font>
    <font>
      <sz val="11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E6F5"/>
        <bgColor rgb="FFC0E6F5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6" fontId="0" fillId="3" borderId="0" xfId="0" applyNumberFormat="1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3" borderId="1" xfId="0" applyFill="1" applyBorder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1" fontId="0" fillId="6" borderId="0" xfId="0" applyNumberFormat="1" applyFill="1" applyAlignment="1">
      <alignment horizontal="center"/>
    </xf>
    <xf numFmtId="0" fontId="2" fillId="6" borderId="0" xfId="0" applyFont="1" applyFill="1" applyAlignment="1">
      <alignment horizontal="center" vertical="center"/>
    </xf>
    <xf numFmtId="16" fontId="0" fillId="6" borderId="0" xfId="0" applyNumberFormat="1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14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0" fontId="0" fillId="4" borderId="0" xfId="0" applyFill="1" applyAlignment="1">
      <alignment horizontal="center"/>
    </xf>
    <xf numFmtId="0" fontId="0" fillId="4" borderId="0" xfId="0" applyFill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9" fillId="2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/>
    </xf>
    <xf numFmtId="0" fontId="1" fillId="9" borderId="0" xfId="0" applyFont="1" applyFill="1"/>
    <xf numFmtId="0" fontId="1" fillId="9" borderId="0" xfId="0" applyFont="1" applyFill="1" applyAlignment="1">
      <alignment horizontal="center"/>
    </xf>
    <xf numFmtId="0" fontId="9" fillId="9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/>
    <xf numFmtId="0" fontId="0" fillId="0" borderId="1" xfId="0" applyBorder="1"/>
    <xf numFmtId="0" fontId="2" fillId="12" borderId="0" xfId="0" applyFont="1" applyFill="1"/>
    <xf numFmtId="0" fontId="1" fillId="0" borderId="0" xfId="0" applyFont="1"/>
    <xf numFmtId="0" fontId="1" fillId="7" borderId="0" xfId="0" applyFont="1" applyFill="1"/>
    <xf numFmtId="16" fontId="0" fillId="8" borderId="0" xfId="0" applyNumberFormat="1" applyFill="1" applyAlignment="1">
      <alignment horizontal="center" vertical="center"/>
    </xf>
    <xf numFmtId="16" fontId="0" fillId="8" borderId="0" xfId="0" applyNumberFormat="1" applyFill="1" applyAlignment="1">
      <alignment horizontal="center"/>
    </xf>
    <xf numFmtId="0" fontId="0" fillId="13" borderId="0" xfId="0" applyFill="1"/>
    <xf numFmtId="0" fontId="0" fillId="13" borderId="0" xfId="0" applyFill="1" applyAlignment="1">
      <alignment horizontal="center"/>
    </xf>
    <xf numFmtId="14" fontId="0" fillId="13" borderId="0" xfId="0" applyNumberFormat="1" applyFill="1" applyAlignment="1">
      <alignment horizontal="center"/>
    </xf>
    <xf numFmtId="1" fontId="0" fillId="13" borderId="0" xfId="0" applyNumberFormat="1" applyFill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16" fontId="0" fillId="13" borderId="0" xfId="0" applyNumberFormat="1" applyFill="1" applyAlignment="1">
      <alignment horizontal="center"/>
    </xf>
    <xf numFmtId="0" fontId="0" fillId="14" borderId="0" xfId="0" applyFill="1"/>
    <xf numFmtId="0" fontId="2" fillId="14" borderId="0" xfId="0" applyFont="1" applyFill="1" applyAlignment="1">
      <alignment horizontal="center"/>
    </xf>
    <xf numFmtId="0" fontId="0" fillId="14" borderId="0" xfId="0" applyFill="1" applyAlignment="1">
      <alignment horizontal="center"/>
    </xf>
    <xf numFmtId="14" fontId="0" fillId="14" borderId="0" xfId="0" applyNumberFormat="1" applyFill="1" applyAlignment="1">
      <alignment horizontal="center"/>
    </xf>
    <xf numFmtId="1" fontId="0" fillId="14" borderId="0" xfId="0" applyNumberFormat="1" applyFill="1" applyAlignment="1">
      <alignment horizontal="center"/>
    </xf>
    <xf numFmtId="16" fontId="0" fillId="14" borderId="0" xfId="0" applyNumberFormat="1" applyFill="1" applyAlignment="1">
      <alignment horizontal="center"/>
    </xf>
    <xf numFmtId="16" fontId="0" fillId="14" borderId="0" xfId="0" applyNumberFormat="1" applyFill="1" applyAlignment="1">
      <alignment horizontal="center" vertical="center"/>
    </xf>
    <xf numFmtId="0" fontId="0" fillId="15" borderId="0" xfId="0" applyFill="1"/>
    <xf numFmtId="0" fontId="0" fillId="15" borderId="0" xfId="0" applyFill="1" applyAlignment="1">
      <alignment horizontal="center"/>
    </xf>
    <xf numFmtId="14" fontId="0" fillId="15" borderId="0" xfId="0" applyNumberFormat="1" applyFill="1" applyAlignment="1">
      <alignment horizontal="center"/>
    </xf>
    <xf numFmtId="1" fontId="0" fillId="15" borderId="0" xfId="0" applyNumberFormat="1" applyFill="1" applyAlignment="1">
      <alignment horizontal="center"/>
    </xf>
    <xf numFmtId="0" fontId="0" fillId="16" borderId="0" xfId="0" applyFill="1"/>
    <xf numFmtId="0" fontId="0" fillId="16" borderId="0" xfId="0" applyFill="1" applyAlignment="1">
      <alignment horizontal="center"/>
    </xf>
    <xf numFmtId="14" fontId="0" fillId="16" borderId="0" xfId="0" applyNumberFormat="1" applyFill="1" applyAlignment="1">
      <alignment horizontal="center"/>
    </xf>
    <xf numFmtId="1" fontId="0" fillId="16" borderId="0" xfId="0" applyNumberFormat="1" applyFill="1" applyAlignment="1">
      <alignment horizontal="center"/>
    </xf>
    <xf numFmtId="0" fontId="0" fillId="16" borderId="3" xfId="0" applyFill="1" applyBorder="1"/>
    <xf numFmtId="0" fontId="0" fillId="16" borderId="3" xfId="0" applyFill="1" applyBorder="1" applyAlignment="1">
      <alignment horizontal="center"/>
    </xf>
    <xf numFmtId="14" fontId="0" fillId="16" borderId="3" xfId="0" applyNumberFormat="1" applyFill="1" applyBorder="1" applyAlignment="1">
      <alignment horizontal="center"/>
    </xf>
    <xf numFmtId="1" fontId="0" fillId="16" borderId="3" xfId="0" applyNumberFormat="1" applyFill="1" applyBorder="1" applyAlignment="1">
      <alignment horizontal="center"/>
    </xf>
    <xf numFmtId="0" fontId="0" fillId="2" borderId="0" xfId="0" applyFill="1"/>
    <xf numFmtId="14" fontId="0" fillId="2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17" borderId="0" xfId="0" applyFill="1"/>
    <xf numFmtId="0" fontId="0" fillId="17" borderId="0" xfId="0" applyFill="1" applyAlignment="1">
      <alignment horizontal="center"/>
    </xf>
    <xf numFmtId="14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00"/>
      <color rgb="FF66FF99"/>
      <color rgb="FFFFCC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ego Morales" refreshedDate="46251.451052777775" createdVersion="8" refreshedVersion="8" minRefreshableVersion="3" recordCount="217" xr:uid="{F7B6D934-C7B8-4BEA-9914-2DE736CC2F98}">
  <cacheSource type="worksheet">
    <worksheetSource ref="B2:C1048576" sheet="Piloto"/>
  </cacheSource>
  <cacheFields count="2">
    <cacheField name="TERMINAL" numFmtId="0">
      <sharedItems containsString="0" containsBlank="1" containsNumber="1" containsInteger="1" minValue="102383" maxValue="127187"/>
    </cacheField>
    <cacheField name="NOMBRE DE TERMINAL" numFmtId="0">
      <sharedItems containsBlank="1" count="14">
        <s v="TIENDA LA MOLINA AV LA MOLINA"/>
        <s v="TIENDA MAGDALENA AV. JOSE GALVEZ N°695"/>
        <s v="TIENDA WONG ALDABAS SURCO AV BENAVIDES CDRA 52"/>
        <s v="WONG SAN MIGUEL I-PUERTA 2"/>
        <s v="HIPERMERCADO METRO SA - LIMATAMBO I-PUERTA PRINCIPAL"/>
        <s v="VIVANDA - DOS DE MAYO"/>
        <s v="TIENDA SJM AV. VARGAS MACHUCA N°314"/>
        <s v="TIENDA METRO SHELL"/>
        <s v="TIENDA PLAZA VEA CAMINOS DEL INCA"/>
        <s v="TIENDA SURCO AV ENCALADA"/>
        <s v="TIENDA METRO SAN MIGUEL AV LA MARINA"/>
        <e v="#N/A"/>
        <s v="TIENDA METRO SURQUILLO CL LAS TIENDA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7">
  <r>
    <n v="120937"/>
    <x v="0"/>
  </r>
  <r>
    <n v="124930"/>
    <x v="1"/>
  </r>
  <r>
    <n v="124930"/>
    <x v="1"/>
  </r>
  <r>
    <n v="124930"/>
    <x v="1"/>
  </r>
  <r>
    <n v="120365"/>
    <x v="2"/>
  </r>
  <r>
    <n v="120365"/>
    <x v="2"/>
  </r>
  <r>
    <n v="102383"/>
    <x v="3"/>
  </r>
  <r>
    <n v="102383"/>
    <x v="3"/>
  </r>
  <r>
    <n v="105836"/>
    <x v="4"/>
  </r>
  <r>
    <n v="105836"/>
    <x v="4"/>
  </r>
  <r>
    <n v="105836"/>
    <x v="4"/>
  </r>
  <r>
    <n v="105836"/>
    <x v="4"/>
  </r>
  <r>
    <n v="124930"/>
    <x v="1"/>
  </r>
  <r>
    <n v="124930"/>
    <x v="1"/>
  </r>
  <r>
    <n v="124930"/>
    <x v="1"/>
  </r>
  <r>
    <n v="124930"/>
    <x v="1"/>
  </r>
  <r>
    <n v="120365"/>
    <x v="2"/>
  </r>
  <r>
    <n v="120365"/>
    <x v="2"/>
  </r>
  <r>
    <n v="102383"/>
    <x v="3"/>
  </r>
  <r>
    <n v="120365"/>
    <x v="2"/>
  </r>
  <r>
    <n v="106565"/>
    <x v="5"/>
  </r>
  <r>
    <n v="102383"/>
    <x v="3"/>
  </r>
  <r>
    <n v="120365"/>
    <x v="2"/>
  </r>
  <r>
    <n v="102383"/>
    <x v="3"/>
  </r>
  <r>
    <n v="124930"/>
    <x v="1"/>
  </r>
  <r>
    <n v="102383"/>
    <x v="3"/>
  </r>
  <r>
    <n v="124930"/>
    <x v="1"/>
  </r>
  <r>
    <n v="125113"/>
    <x v="6"/>
  </r>
  <r>
    <n v="124930"/>
    <x v="1"/>
  </r>
  <r>
    <n v="102383"/>
    <x v="3"/>
  </r>
  <r>
    <n v="124930"/>
    <x v="1"/>
  </r>
  <r>
    <n v="120365"/>
    <x v="2"/>
  </r>
  <r>
    <n v="124930"/>
    <x v="1"/>
  </r>
  <r>
    <n v="124930"/>
    <x v="1"/>
  </r>
  <r>
    <n v="127187"/>
    <x v="7"/>
  </r>
  <r>
    <n v="125124"/>
    <x v="8"/>
  </r>
  <r>
    <n v="120516"/>
    <x v="9"/>
  </r>
  <r>
    <n v="120378"/>
    <x v="10"/>
  </r>
  <r>
    <n v="125124"/>
    <x v="8"/>
  </r>
  <r>
    <n v="120365"/>
    <x v="2"/>
  </r>
  <r>
    <n v="120937"/>
    <x v="0"/>
  </r>
  <r>
    <n v="120365"/>
    <x v="2"/>
  </r>
  <r>
    <n v="127187"/>
    <x v="7"/>
  </r>
  <r>
    <n v="120365"/>
    <x v="2"/>
  </r>
  <r>
    <n v="120365"/>
    <x v="2"/>
  </r>
  <r>
    <n v="120365"/>
    <x v="2"/>
  </r>
  <r>
    <m/>
    <x v="11"/>
  </r>
  <r>
    <n v="120365"/>
    <x v="2"/>
  </r>
  <r>
    <n v="124930"/>
    <x v="1"/>
  </r>
  <r>
    <n v="124930"/>
    <x v="1"/>
  </r>
  <r>
    <n v="124930"/>
    <x v="1"/>
  </r>
  <r>
    <n v="124930"/>
    <x v="1"/>
  </r>
  <r>
    <n v="124930"/>
    <x v="1"/>
  </r>
  <r>
    <n v="120365"/>
    <x v="2"/>
  </r>
  <r>
    <m/>
    <x v="11"/>
  </r>
  <r>
    <n v="124930"/>
    <x v="1"/>
  </r>
  <r>
    <n v="120365"/>
    <x v="2"/>
  </r>
  <r>
    <n v="124930"/>
    <x v="1"/>
  </r>
  <r>
    <n v="120101"/>
    <x v="12"/>
  </r>
  <r>
    <n v="124930"/>
    <x v="1"/>
  </r>
  <r>
    <n v="102383"/>
    <x v="3"/>
  </r>
  <r>
    <n v="124930"/>
    <x v="1"/>
  </r>
  <r>
    <n v="124930"/>
    <x v="1"/>
  </r>
  <r>
    <n v="124930"/>
    <x v="1"/>
  </r>
  <r>
    <n v="124930"/>
    <x v="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1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  <r>
    <m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DC7E68-079F-4AFE-AF75-1EE245E35D3A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8" firstHeaderRow="1" firstDataRow="1" firstDataCol="1"/>
  <pivotFields count="2">
    <pivotField dataField="1" showAll="0"/>
    <pivotField axis="axisRow" showAll="0">
      <items count="15">
        <item x="4"/>
        <item x="0"/>
        <item x="1"/>
        <item x="6"/>
        <item x="2"/>
        <item x="5"/>
        <item x="3"/>
        <item x="11"/>
        <item x="13"/>
        <item x="7"/>
        <item x="8"/>
        <item x="9"/>
        <item x="10"/>
        <item x="12"/>
        <item t="default"/>
      </items>
    </pivotField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N° GanadoresXterminal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94F4AF-7D39-412E-AA12-00F14B3AD91D}" name="Tabla1" displayName="Tabla1" ref="A3:B18" totalsRowShown="0">
  <autoFilter ref="A3:B18" xr:uid="{C994F4AF-7D39-412E-AA12-00F14B3AD91D}"/>
  <tableColumns count="2">
    <tableColumn id="1" xr3:uid="{B8077C98-BDA7-4EC3-A85A-2F4E7CF07768}" name="TERMINAL"/>
    <tableColumn id="2" xr3:uid="{EF0186A5-1093-4732-8F91-E803E89950E2}" name="NOMBRE DE TERMI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6AEF25-876E-4FAB-9D7F-3112A23CC9F3}" name="Tabla2" displayName="Tabla2" ref="A3:B7" totalsRowShown="0">
  <autoFilter ref="A3:B7" xr:uid="{146AEF25-876E-4FAB-9D7F-3112A23CC9F3}"/>
  <tableColumns count="2">
    <tableColumn id="1" xr3:uid="{8DC0ADE6-9CA1-4A5D-808F-58AE9A9F373C}" name="TERMINAL"/>
    <tableColumn id="2" xr3:uid="{446E9CE7-0988-4F81-97FF-3783C36BA182}" name="NOMBRE DE TERMI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47F113-EA61-4753-8A21-30AB12A0090B}" name="Tabla3" displayName="Tabla3" ref="A3:B23" totalsRowShown="0">
  <autoFilter ref="A3:B23" xr:uid="{E747F113-EA61-4753-8A21-30AB12A0090B}"/>
  <tableColumns count="2">
    <tableColumn id="1" xr3:uid="{CDD13E32-4D07-4E62-9B0F-95D136445CCC}" name="TERMINAL"/>
    <tableColumn id="2" xr3:uid="{72E9D5FB-7145-4807-AE26-5F0E86FA0544}" name="NOMBRE DE TERMI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A7302-4D0A-4F46-8BE8-EBB141A1EA4D}">
  <dimension ref="A2:N218"/>
  <sheetViews>
    <sheetView tabSelected="1" zoomScale="60" zoomScaleNormal="60" zoomScaleSheetLayoutView="70" workbookViewId="0">
      <selection activeCell="J42" sqref="J42"/>
    </sheetView>
  </sheetViews>
  <sheetFormatPr baseColWidth="10" defaultRowHeight="14.4" x14ac:dyDescent="0.3"/>
  <cols>
    <col min="1" max="1" width="11.5546875" customWidth="1"/>
    <col min="2" max="2" width="11.5546875" style="2" customWidth="1"/>
    <col min="3" max="3" width="55.109375" customWidth="1"/>
    <col min="4" max="4" width="21.5546875" style="2" customWidth="1"/>
    <col min="5" max="5" width="35.5546875" style="2" customWidth="1"/>
    <col min="6" max="6" width="21.5546875" style="4" customWidth="1"/>
    <col min="7" max="7" width="14.33203125" style="2" customWidth="1"/>
    <col min="8" max="8" width="9.44140625" style="2" customWidth="1"/>
    <col min="9" max="9" width="29" style="2" customWidth="1"/>
    <col min="10" max="10" width="24" style="2" customWidth="1"/>
    <col min="11" max="11" width="25.88671875" style="6" customWidth="1"/>
    <col min="12" max="12" width="23.5546875" style="2" customWidth="1"/>
    <col min="13" max="13" width="21.88671875" style="9" customWidth="1"/>
    <col min="14" max="14" width="22.21875" customWidth="1"/>
  </cols>
  <sheetData>
    <row r="2" spans="1:14" s="1" customFormat="1" x14ac:dyDescent="0.3">
      <c r="B2" s="1" t="s">
        <v>0</v>
      </c>
      <c r="C2" s="1" t="s">
        <v>1</v>
      </c>
      <c r="D2" s="1" t="s">
        <v>17</v>
      </c>
      <c r="E2" s="1" t="s">
        <v>25</v>
      </c>
      <c r="F2" s="3" t="s">
        <v>26</v>
      </c>
      <c r="G2" s="1" t="s">
        <v>27</v>
      </c>
      <c r="H2" s="1" t="s">
        <v>29</v>
      </c>
      <c r="I2" s="1" t="s">
        <v>30</v>
      </c>
      <c r="J2" s="1" t="s">
        <v>34</v>
      </c>
      <c r="K2" s="5" t="s">
        <v>80</v>
      </c>
      <c r="L2" s="1" t="s">
        <v>32</v>
      </c>
      <c r="M2" s="10" t="s">
        <v>31</v>
      </c>
      <c r="N2" s="1" t="s">
        <v>161</v>
      </c>
    </row>
    <row r="3" spans="1:14" x14ac:dyDescent="0.3">
      <c r="A3">
        <f>IF(B3&lt;&gt;"", MAX($A$2:A2)+1, "")</f>
        <v>1</v>
      </c>
      <c r="B3" s="2">
        <v>120937</v>
      </c>
      <c r="C3" t="str">
        <f>VLOOKUP(B3, Terminales!$A$1:$B$15, 2, FALSE)</f>
        <v>TIENDA LA MOLINA AV LA MOLINA</v>
      </c>
      <c r="D3" s="2" t="str">
        <f>VLOOKUP(C3, Terminales!$B$1:$C$15, 2, FALSE)</f>
        <v>ALINA UNTAMA</v>
      </c>
      <c r="E3" s="2" t="s">
        <v>37</v>
      </c>
      <c r="F3" s="4">
        <v>46067</v>
      </c>
      <c r="G3" s="2" t="s">
        <v>28</v>
      </c>
      <c r="H3" s="2">
        <v>100</v>
      </c>
      <c r="I3" s="2" t="s">
        <v>33</v>
      </c>
      <c r="J3" s="2" t="s">
        <v>35</v>
      </c>
      <c r="K3" s="6">
        <v>1771260495495</v>
      </c>
      <c r="L3" s="2" t="s">
        <v>93</v>
      </c>
      <c r="M3" s="2"/>
    </row>
    <row r="4" spans="1:14" x14ac:dyDescent="0.3">
      <c r="A4">
        <f>IF(B4&lt;&gt;"", MAX($A$2:A3)+1, "")</f>
        <v>2</v>
      </c>
      <c r="B4" s="2">
        <v>124930</v>
      </c>
      <c r="C4" t="str">
        <f>VLOOKUP(B4, Terminales!$A$1:$B$15, 2, FALSE)</f>
        <v>TIENDA MAGDALENA AV. JOSE GALVEZ N°695</v>
      </c>
      <c r="D4" s="2" t="str">
        <f>VLOOKUP(C4, Terminales!$B$1:$C$15, 2, FALSE)</f>
        <v>MILAGROS URBANO</v>
      </c>
      <c r="E4" s="2" t="s">
        <v>36</v>
      </c>
      <c r="F4" s="4">
        <v>46067</v>
      </c>
      <c r="G4" s="2" t="s">
        <v>45</v>
      </c>
      <c r="H4" s="2">
        <v>100</v>
      </c>
      <c r="I4" s="7" t="s">
        <v>46</v>
      </c>
      <c r="J4" s="2" t="s">
        <v>41</v>
      </c>
      <c r="K4" s="6">
        <v>1771277488623</v>
      </c>
      <c r="L4" s="2" t="s">
        <v>82</v>
      </c>
      <c r="M4" s="11">
        <v>46087</v>
      </c>
    </row>
    <row r="5" spans="1:14" s="12" customFormat="1" x14ac:dyDescent="0.3">
      <c r="A5" s="12">
        <f>IF(B5&lt;&gt;"", MAX($A$2:A4)+1, "")</f>
        <v>3</v>
      </c>
      <c r="B5" s="13">
        <v>124930</v>
      </c>
      <c r="C5" s="12" t="str">
        <f>VLOOKUP(B5, Terminales!$A$1:$B$15, 2, FALSE)</f>
        <v>TIENDA MAGDALENA AV. JOSE GALVEZ N°695</v>
      </c>
      <c r="D5" s="13" t="str">
        <f>VLOOKUP(C5, Terminales!$B$1:$C$15, 2, FALSE)</f>
        <v>MILAGROS URBANO</v>
      </c>
      <c r="E5" s="13" t="s">
        <v>36</v>
      </c>
      <c r="F5" s="14">
        <v>46067</v>
      </c>
      <c r="G5" s="13" t="s">
        <v>38</v>
      </c>
      <c r="H5" s="13">
        <v>100</v>
      </c>
      <c r="I5" s="13" t="s">
        <v>47</v>
      </c>
      <c r="J5" s="13" t="s">
        <v>42</v>
      </c>
      <c r="K5" s="15">
        <v>1771277596052</v>
      </c>
      <c r="L5" s="13" t="s">
        <v>82</v>
      </c>
      <c r="M5" s="16">
        <v>46087</v>
      </c>
    </row>
    <row r="6" spans="1:14" x14ac:dyDescent="0.3">
      <c r="A6">
        <f>IF(B6&lt;&gt;"", MAX($A$2:A5)+1, "")</f>
        <v>4</v>
      </c>
      <c r="B6" s="2">
        <v>124930</v>
      </c>
      <c r="C6" t="str">
        <f>VLOOKUP(B6, Terminales!$A$1:$B$15, 2, FALSE)</f>
        <v>TIENDA MAGDALENA AV. JOSE GALVEZ N°695</v>
      </c>
      <c r="D6" s="2" t="str">
        <f>VLOOKUP(C6, Terminales!$B$1:$C$15, 2, FALSE)</f>
        <v>MILAGROS URBANO</v>
      </c>
      <c r="E6" s="2" t="s">
        <v>39</v>
      </c>
      <c r="F6" s="4">
        <v>46067</v>
      </c>
      <c r="G6" s="2" t="s">
        <v>38</v>
      </c>
      <c r="H6" s="2">
        <v>110</v>
      </c>
      <c r="I6" s="2" t="s">
        <v>48</v>
      </c>
      <c r="J6" s="2" t="s">
        <v>40</v>
      </c>
      <c r="K6" s="6">
        <v>1771277683019</v>
      </c>
      <c r="L6" s="2" t="s">
        <v>93</v>
      </c>
      <c r="M6" s="2"/>
    </row>
    <row r="7" spans="1:14" x14ac:dyDescent="0.3">
      <c r="A7">
        <f>IF(B7&lt;&gt;"", MAX($A$2:A6)+1, "")</f>
        <v>5</v>
      </c>
      <c r="B7" s="2">
        <v>120365</v>
      </c>
      <c r="C7" t="str">
        <f>VLOOKUP(B7, Terminales!$A$1:$B$15, 2, FALSE)</f>
        <v>TIENDA WONG ALDABAS SURCO AV BENAVIDES CDRA 52</v>
      </c>
      <c r="D7" s="2" t="str">
        <f>VLOOKUP(C7, Terminales!$B$1:$C$15, 2, FALSE)</f>
        <v>ROGGER GARCIA</v>
      </c>
      <c r="E7" s="2" t="s">
        <v>43</v>
      </c>
      <c r="F7" s="4">
        <v>46067</v>
      </c>
      <c r="G7" s="2" t="s">
        <v>38</v>
      </c>
      <c r="H7" s="2">
        <v>100</v>
      </c>
      <c r="I7" s="2" t="s">
        <v>49</v>
      </c>
      <c r="J7" s="2" t="s">
        <v>44</v>
      </c>
      <c r="K7" s="6">
        <v>1771277913266</v>
      </c>
      <c r="L7" s="2" t="s">
        <v>93</v>
      </c>
      <c r="M7" s="2"/>
    </row>
    <row r="8" spans="1:14" x14ac:dyDescent="0.3">
      <c r="A8">
        <f>IF(B8&lt;&gt;"", MAX($A$2:A7)+1, "")</f>
        <v>6</v>
      </c>
      <c r="B8" s="2">
        <v>120365</v>
      </c>
      <c r="C8" t="str">
        <f>VLOOKUP(B8, Terminales!$A$1:$B$15, 2, FALSE)</f>
        <v>TIENDA WONG ALDABAS SURCO AV BENAVIDES CDRA 52</v>
      </c>
      <c r="D8" s="2" t="str">
        <f>VLOOKUP(C8, Terminales!$B$1:$C$15, 2, FALSE)</f>
        <v>ROGGER GARCIA</v>
      </c>
      <c r="E8" s="2" t="s">
        <v>43</v>
      </c>
      <c r="F8" s="4">
        <v>46070</v>
      </c>
      <c r="G8" s="2" t="s">
        <v>28</v>
      </c>
      <c r="H8" s="2">
        <v>100</v>
      </c>
      <c r="I8" s="2" t="s">
        <v>50</v>
      </c>
      <c r="J8" s="2" t="s">
        <v>51</v>
      </c>
      <c r="K8" s="6">
        <v>1771337977327</v>
      </c>
      <c r="L8" s="2" t="s">
        <v>93</v>
      </c>
      <c r="M8" s="2"/>
    </row>
    <row r="9" spans="1:14" s="12" customFormat="1" x14ac:dyDescent="0.3">
      <c r="A9" s="12">
        <f>IF(B9&lt;&gt;"", MAX($A$2:A8)+1, "")</f>
        <v>7</v>
      </c>
      <c r="B9" s="13">
        <v>102383</v>
      </c>
      <c r="C9" s="12" t="str">
        <f>VLOOKUP(B9, Terminales!$A$1:$B$15, 2, FALSE)</f>
        <v>WONG SAN MIGUEL I-PUERTA 2</v>
      </c>
      <c r="D9" s="13" t="str">
        <f>VLOOKUP(C9, Terminales!$B$1:$C$15, 2, FALSE)</f>
        <v>MILAGROS URBANO</v>
      </c>
      <c r="E9" s="13" t="s">
        <v>52</v>
      </c>
      <c r="F9" s="14">
        <v>46071</v>
      </c>
      <c r="G9" s="13" t="s">
        <v>38</v>
      </c>
      <c r="H9" s="13">
        <v>200</v>
      </c>
      <c r="I9" s="13" t="s">
        <v>55</v>
      </c>
      <c r="J9" s="13" t="s">
        <v>53</v>
      </c>
      <c r="K9" s="15">
        <v>1771534288715</v>
      </c>
      <c r="L9" s="13" t="s">
        <v>82</v>
      </c>
      <c r="M9" s="16">
        <v>46087</v>
      </c>
    </row>
    <row r="10" spans="1:14" s="12" customFormat="1" x14ac:dyDescent="0.3">
      <c r="A10" s="12">
        <f>IF(B10&lt;&gt;"", MAX($A$2:A9)+1, "")</f>
        <v>8</v>
      </c>
      <c r="B10" s="13">
        <v>102383</v>
      </c>
      <c r="C10" s="12" t="str">
        <f>VLOOKUP(B10, Terminales!$A$1:$B$15, 2, FALSE)</f>
        <v>WONG SAN MIGUEL I-PUERTA 2</v>
      </c>
      <c r="D10" s="13" t="str">
        <f>VLOOKUP(C10, Terminales!$B$1:$C$15, 2, FALSE)</f>
        <v>MILAGROS URBANO</v>
      </c>
      <c r="E10" s="13" t="s">
        <v>52</v>
      </c>
      <c r="F10" s="14">
        <v>46071</v>
      </c>
      <c r="G10" s="13" t="s">
        <v>38</v>
      </c>
      <c r="H10" s="13">
        <v>500</v>
      </c>
      <c r="I10" s="13" t="s">
        <v>56</v>
      </c>
      <c r="J10" s="13" t="s">
        <v>54</v>
      </c>
      <c r="K10" s="15">
        <v>1771534347971</v>
      </c>
      <c r="L10" s="13" t="s">
        <v>82</v>
      </c>
      <c r="M10" s="16">
        <v>46087</v>
      </c>
    </row>
    <row r="11" spans="1:14" x14ac:dyDescent="0.3">
      <c r="A11">
        <f>IF(B11&lt;&gt;"", MAX($A$2:A10)+1, "")</f>
        <v>9</v>
      </c>
      <c r="B11" s="2">
        <v>105836</v>
      </c>
      <c r="C11" t="str">
        <f>VLOOKUP(B11, Terminales!$A$1:$B$15, 2, FALSE)</f>
        <v>HIPERMERCADO METRO SA - LIMATAMBO I-PUERTA PRINCIPAL</v>
      </c>
      <c r="D11" s="2" t="str">
        <f>VLOOKUP(C11, Terminales!$B$1:$C$15, 2, FALSE)</f>
        <v>WENDY OLMEDO</v>
      </c>
      <c r="E11" s="2" t="s">
        <v>57</v>
      </c>
      <c r="F11" s="4">
        <v>46072</v>
      </c>
      <c r="G11" s="2" t="s">
        <v>38</v>
      </c>
      <c r="H11" s="2">
        <v>100</v>
      </c>
      <c r="I11" s="2" t="s">
        <v>58</v>
      </c>
      <c r="J11" s="2" t="s">
        <v>61</v>
      </c>
      <c r="K11" s="6">
        <v>1772049860775</v>
      </c>
      <c r="L11" s="2" t="s">
        <v>93</v>
      </c>
      <c r="M11" s="2"/>
    </row>
    <row r="12" spans="1:14" x14ac:dyDescent="0.3">
      <c r="A12">
        <f>IF(B12&lt;&gt;"", MAX($A$2:A11)+1, "")</f>
        <v>10</v>
      </c>
      <c r="B12" s="2">
        <v>105836</v>
      </c>
      <c r="C12" t="str">
        <f>VLOOKUP(B12, Terminales!$A$1:$B$15, 2, FALSE)</f>
        <v>HIPERMERCADO METRO SA - LIMATAMBO I-PUERTA PRINCIPAL</v>
      </c>
      <c r="D12" s="2" t="str">
        <f>VLOOKUP(C12, Terminales!$B$1:$C$15, 2, FALSE)</f>
        <v>WENDY OLMEDO</v>
      </c>
      <c r="E12" s="2" t="s">
        <v>57</v>
      </c>
      <c r="F12" s="4">
        <v>46072</v>
      </c>
      <c r="G12" s="2" t="s">
        <v>38</v>
      </c>
      <c r="H12" s="2">
        <v>175</v>
      </c>
      <c r="I12" s="2" t="s">
        <v>59</v>
      </c>
      <c r="J12" s="2" t="s">
        <v>62</v>
      </c>
      <c r="K12" s="6">
        <v>1772052101159</v>
      </c>
      <c r="L12" s="2" t="s">
        <v>93</v>
      </c>
      <c r="M12" s="2"/>
    </row>
    <row r="13" spans="1:14" x14ac:dyDescent="0.3">
      <c r="A13">
        <f>IF(B13&lt;&gt;"", MAX($A$2:A12)+1, "")</f>
        <v>11</v>
      </c>
      <c r="B13" s="2">
        <v>105836</v>
      </c>
      <c r="C13" t="str">
        <f>VLOOKUP(B13, Terminales!$A$1:$B$15, 2, FALSE)</f>
        <v>HIPERMERCADO METRO SA - LIMATAMBO I-PUERTA PRINCIPAL</v>
      </c>
      <c r="D13" s="2" t="str">
        <f>VLOOKUP(C13, Terminales!$B$1:$C$15, 2, FALSE)</f>
        <v>WENDY OLMEDO</v>
      </c>
      <c r="E13" s="2" t="s">
        <v>60</v>
      </c>
      <c r="F13" s="4">
        <v>46073</v>
      </c>
      <c r="G13" s="2" t="s">
        <v>38</v>
      </c>
      <c r="H13" s="2">
        <v>100</v>
      </c>
      <c r="I13" s="2" t="s">
        <v>64</v>
      </c>
      <c r="J13" s="2" t="s">
        <v>63</v>
      </c>
      <c r="K13" s="6">
        <v>1772052285389</v>
      </c>
      <c r="L13" s="2" t="s">
        <v>93</v>
      </c>
      <c r="M13" s="2"/>
    </row>
    <row r="14" spans="1:14" x14ac:dyDescent="0.3">
      <c r="A14">
        <f>IF(B14&lt;&gt;"", MAX($A$2:A13)+1, "")</f>
        <v>12</v>
      </c>
      <c r="B14" s="2">
        <v>105836</v>
      </c>
      <c r="C14" t="str">
        <f>VLOOKUP(B14, Terminales!$A$1:$B$15, 2, FALSE)</f>
        <v>HIPERMERCADO METRO SA - LIMATAMBO I-PUERTA PRINCIPAL</v>
      </c>
      <c r="D14" s="2" t="str">
        <f>VLOOKUP(C14, Terminales!$B$1:$C$15, 2, FALSE)</f>
        <v>WENDY OLMEDO</v>
      </c>
      <c r="E14" s="2" t="s">
        <v>60</v>
      </c>
      <c r="F14" s="4">
        <v>46073</v>
      </c>
      <c r="G14" s="2" t="s">
        <v>38</v>
      </c>
      <c r="H14" s="2">
        <v>100</v>
      </c>
      <c r="I14" s="2" t="s">
        <v>65</v>
      </c>
      <c r="J14" s="2" t="s">
        <v>81</v>
      </c>
      <c r="K14" s="6">
        <v>1772052329999</v>
      </c>
      <c r="L14" s="2" t="s">
        <v>93</v>
      </c>
      <c r="M14" s="2"/>
    </row>
    <row r="15" spans="1:14" x14ac:dyDescent="0.3">
      <c r="A15">
        <f>IF(B15&lt;&gt;"", MAX($A$2:A14)+1, "")</f>
        <v>13</v>
      </c>
      <c r="B15" s="2">
        <v>124930</v>
      </c>
      <c r="C15" t="str">
        <f>VLOOKUP(B15, Terminales!$A$1:$B$15, 2, FALSE)</f>
        <v>TIENDA MAGDALENA AV. JOSE GALVEZ N°695</v>
      </c>
      <c r="D15" s="2" t="str">
        <f>VLOOKUP(C15, Terminales!$B$1:$C$15, 2, FALSE)</f>
        <v>MILAGROS URBANO</v>
      </c>
      <c r="E15" s="2" t="s">
        <v>66</v>
      </c>
      <c r="F15" s="4">
        <v>46075</v>
      </c>
      <c r="G15" s="2" t="s">
        <v>38</v>
      </c>
      <c r="H15" s="2">
        <v>100</v>
      </c>
      <c r="I15" s="2" t="s">
        <v>67</v>
      </c>
      <c r="J15" s="2" t="s">
        <v>68</v>
      </c>
      <c r="K15" s="6">
        <v>1772052465580</v>
      </c>
      <c r="L15" s="2" t="s">
        <v>82</v>
      </c>
    </row>
    <row r="16" spans="1:14" s="29" customFormat="1" x14ac:dyDescent="0.3">
      <c r="A16" s="29">
        <f>IF(B16&lt;&gt;"", MAX($A$2:A15)+1, "")</f>
        <v>14</v>
      </c>
      <c r="B16" s="30">
        <v>124930</v>
      </c>
      <c r="C16" s="29" t="str">
        <f>VLOOKUP(B16, Terminales!$A$1:$B$15, 2, FALSE)</f>
        <v>TIENDA MAGDALENA AV. JOSE GALVEZ N°695</v>
      </c>
      <c r="D16" s="2" t="str">
        <f>VLOOKUP(C16, Terminales!$B$1:$C$15, 2, FALSE)</f>
        <v>MILAGROS URBANO</v>
      </c>
      <c r="E16" s="2" t="s">
        <v>66</v>
      </c>
      <c r="F16" s="4">
        <v>46075</v>
      </c>
      <c r="G16" s="30" t="s">
        <v>38</v>
      </c>
      <c r="H16" s="2">
        <v>150</v>
      </c>
      <c r="I16" s="30" t="s">
        <v>69</v>
      </c>
      <c r="J16" s="30" t="s">
        <v>70</v>
      </c>
      <c r="K16" s="31">
        <v>1772052586048</v>
      </c>
      <c r="L16" s="30" t="s">
        <v>82</v>
      </c>
      <c r="M16" s="33">
        <v>46136</v>
      </c>
    </row>
    <row r="17" spans="1:13" s="34" customFormat="1" x14ac:dyDescent="0.3">
      <c r="A17" s="34">
        <f>IF(B17&lt;&gt;"", MAX($A$2:A16)+1, "")</f>
        <v>15</v>
      </c>
      <c r="B17" s="38">
        <v>124930</v>
      </c>
      <c r="C17" s="34" t="str">
        <f>VLOOKUP(B17, Terminales!$A$1:$B$15, 2, FALSE)</f>
        <v>TIENDA MAGDALENA AV. JOSE GALVEZ N°695</v>
      </c>
      <c r="D17" s="35" t="str">
        <f>VLOOKUP(C17, Terminales!$B$1:$C$15, 2, FALSE)</f>
        <v>MILAGROS URBANO</v>
      </c>
      <c r="E17" s="35" t="s">
        <v>39</v>
      </c>
      <c r="F17" s="36">
        <v>46081</v>
      </c>
      <c r="G17" s="35" t="s">
        <v>45</v>
      </c>
      <c r="H17" s="35">
        <v>100</v>
      </c>
      <c r="I17" s="35" t="s">
        <v>77</v>
      </c>
      <c r="J17" s="35" t="s">
        <v>75</v>
      </c>
      <c r="K17" s="37">
        <v>1772554313167</v>
      </c>
      <c r="L17" s="35" t="s">
        <v>82</v>
      </c>
      <c r="M17" s="62">
        <v>46150</v>
      </c>
    </row>
    <row r="18" spans="1:13" s="71" customFormat="1" x14ac:dyDescent="0.3">
      <c r="A18" s="71">
        <f>IF(B18&lt;&gt;"", MAX($A$2:A17)+1, "")</f>
        <v>16</v>
      </c>
      <c r="B18" s="72">
        <v>124930</v>
      </c>
      <c r="C18" s="71" t="str">
        <f>VLOOKUP(B18, Terminales!$A$1:$B$15, 2, FALSE)</f>
        <v>TIENDA MAGDALENA AV. JOSE GALVEZ N°695</v>
      </c>
      <c r="D18" s="73" t="str">
        <f>VLOOKUP(C18, Terminales!$B$1:$C$15, 2, FALSE)</f>
        <v>MILAGROS URBANO</v>
      </c>
      <c r="E18" s="73" t="s">
        <v>39</v>
      </c>
      <c r="F18" s="74">
        <v>46081</v>
      </c>
      <c r="G18" s="73" t="s">
        <v>38</v>
      </c>
      <c r="H18" s="73">
        <v>100</v>
      </c>
      <c r="I18" s="73" t="s">
        <v>78</v>
      </c>
      <c r="J18" s="73" t="s">
        <v>76</v>
      </c>
      <c r="K18" s="75">
        <v>1772577133395</v>
      </c>
      <c r="L18" s="73" t="s">
        <v>82</v>
      </c>
      <c r="M18" s="77">
        <v>46239</v>
      </c>
    </row>
    <row r="19" spans="1:13" x14ac:dyDescent="0.3">
      <c r="A19">
        <f>IF(B19&lt;&gt;"", MAX($A$2:A18)+1, "")</f>
        <v>17</v>
      </c>
      <c r="B19" s="2">
        <v>120365</v>
      </c>
      <c r="C19" t="str">
        <f>VLOOKUP(B19, Terminales!$A$1:$B$15, 2, FALSE)</f>
        <v>TIENDA WONG ALDABAS SURCO AV BENAVIDES CDRA 52</v>
      </c>
      <c r="D19" s="2" t="str">
        <f>VLOOKUP(C19, Terminales!$B$1:$C$15, 2, FALSE)</f>
        <v>ROGGER GARCIA</v>
      </c>
      <c r="E19" s="2" t="s">
        <v>43</v>
      </c>
      <c r="F19" s="4">
        <v>46084</v>
      </c>
      <c r="G19" s="2" t="s">
        <v>28</v>
      </c>
      <c r="H19" s="2">
        <v>100</v>
      </c>
      <c r="I19" s="7" t="s">
        <v>79</v>
      </c>
      <c r="J19" s="2" t="s">
        <v>71</v>
      </c>
      <c r="K19" s="6">
        <v>1772553105513</v>
      </c>
      <c r="L19" s="2" t="s">
        <v>82</v>
      </c>
      <c r="M19" s="11">
        <v>46087</v>
      </c>
    </row>
    <row r="20" spans="1:13" x14ac:dyDescent="0.3">
      <c r="A20">
        <f>IF(B20&lt;&gt;"", MAX($A$2:A19)+1, "")</f>
        <v>18</v>
      </c>
      <c r="B20" s="2">
        <v>120365</v>
      </c>
      <c r="C20" t="str">
        <f>VLOOKUP(B20, Terminales!$A$1:$B$15, 2, FALSE)</f>
        <v>TIENDA WONG ALDABAS SURCO AV BENAVIDES CDRA 52</v>
      </c>
      <c r="D20" s="2" t="str">
        <f>VLOOKUP(C20, Terminales!$B$1:$C$15, 2, FALSE)</f>
        <v>ROGGER GARCIA</v>
      </c>
      <c r="E20" s="2" t="s">
        <v>43</v>
      </c>
      <c r="F20" s="4">
        <v>46084</v>
      </c>
      <c r="G20" s="2" t="s">
        <v>73</v>
      </c>
      <c r="H20" s="2">
        <v>500</v>
      </c>
      <c r="I20" s="7" t="s">
        <v>74</v>
      </c>
      <c r="J20" s="2" t="s">
        <v>72</v>
      </c>
      <c r="K20" s="6">
        <v>1772553239347</v>
      </c>
      <c r="L20" s="2" t="s">
        <v>82</v>
      </c>
      <c r="M20" s="11">
        <v>46101</v>
      </c>
    </row>
    <row r="21" spans="1:13" x14ac:dyDescent="0.3">
      <c r="A21">
        <f>IF(B21&lt;&gt;"", MAX($A$2:A20)+1, "")</f>
        <v>19</v>
      </c>
      <c r="B21" s="2">
        <v>102383</v>
      </c>
      <c r="C21" t="str">
        <f>VLOOKUP(B21, Terminales!$A$1:$B$15, 2, FALSE)</f>
        <v>WONG SAN MIGUEL I-PUERTA 2</v>
      </c>
      <c r="D21" s="2" t="str">
        <f>VLOOKUP(C21, Terminales!$B$1:$C$15, 2, FALSE)</f>
        <v>MILAGROS URBANO</v>
      </c>
      <c r="E21" s="2" t="s">
        <v>66</v>
      </c>
      <c r="F21" s="4">
        <v>46086</v>
      </c>
      <c r="G21" s="2" t="s">
        <v>45</v>
      </c>
      <c r="H21" s="2">
        <v>100</v>
      </c>
      <c r="I21" s="2" t="s">
        <v>83</v>
      </c>
      <c r="J21" s="2" t="s">
        <v>84</v>
      </c>
      <c r="K21" s="6">
        <v>1772730519441</v>
      </c>
      <c r="L21" s="2" t="s">
        <v>82</v>
      </c>
      <c r="M21" s="11">
        <v>46101</v>
      </c>
    </row>
    <row r="22" spans="1:13" x14ac:dyDescent="0.3">
      <c r="A22">
        <f>IF(B22&lt;&gt;"", MAX($A$2:A21)+1, "")</f>
        <v>20</v>
      </c>
      <c r="B22" s="2">
        <v>120365</v>
      </c>
      <c r="C22" t="str">
        <f>VLOOKUP(B22, Terminales!$A$1:$B$15, 2, FALSE)</f>
        <v>TIENDA WONG ALDABAS SURCO AV BENAVIDES CDRA 52</v>
      </c>
      <c r="D22" s="2" t="str">
        <f>VLOOKUP(C22, Terminales!$B$1:$C$15, 2, FALSE)</f>
        <v>ROGGER GARCIA</v>
      </c>
      <c r="E22" s="2" t="s">
        <v>43</v>
      </c>
      <c r="F22" s="4">
        <v>46086</v>
      </c>
      <c r="G22" s="2" t="s">
        <v>45</v>
      </c>
      <c r="H22" s="2">
        <v>500</v>
      </c>
      <c r="I22" s="7" t="s">
        <v>85</v>
      </c>
      <c r="J22" s="2" t="s">
        <v>86</v>
      </c>
      <c r="K22" s="6">
        <v>1772731023186</v>
      </c>
      <c r="L22" s="2" t="s">
        <v>82</v>
      </c>
      <c r="M22" s="11">
        <v>46101</v>
      </c>
    </row>
    <row r="23" spans="1:13" x14ac:dyDescent="0.3">
      <c r="A23">
        <f>IF(B23&lt;&gt;"", MAX($A$2:A22)+1, "")</f>
        <v>21</v>
      </c>
      <c r="B23" s="2">
        <v>106565</v>
      </c>
      <c r="C23" t="str">
        <f>VLOOKUP(B23, Terminales!$A$1:$B$15, 2, FALSE)</f>
        <v>VIVANDA - DOS DE MAYO</v>
      </c>
      <c r="D23" s="2" t="str">
        <f>VLOOKUP(C23, Terminales!$B$1:$C$15, 2, FALSE)</f>
        <v>CRISLY COTRINA</v>
      </c>
      <c r="E23" s="2" t="s">
        <v>87</v>
      </c>
      <c r="F23" s="4">
        <v>46087</v>
      </c>
      <c r="G23" s="2" t="s">
        <v>38</v>
      </c>
      <c r="H23" s="2">
        <v>100</v>
      </c>
      <c r="I23" s="2" t="s">
        <v>88</v>
      </c>
      <c r="J23" s="2" t="s">
        <v>95</v>
      </c>
      <c r="K23" s="6">
        <v>1773699867529</v>
      </c>
      <c r="L23" s="2" t="s">
        <v>82</v>
      </c>
      <c r="M23" s="11">
        <v>46101</v>
      </c>
    </row>
    <row r="24" spans="1:13" x14ac:dyDescent="0.3">
      <c r="A24">
        <f>IF(B24&lt;&gt;"", MAX($A$2:A23)+1, "")</f>
        <v>22</v>
      </c>
      <c r="B24" s="2">
        <v>102383</v>
      </c>
      <c r="C24" t="str">
        <f>VLOOKUP(B24, Terminales!$A$1:$B$15, 2, FALSE)</f>
        <v>WONG SAN MIGUEL I-PUERTA 2</v>
      </c>
      <c r="D24" s="2" t="str">
        <f>VLOOKUP(C24, Terminales!$B$1:$C$15, 2, FALSE)</f>
        <v>MILAGROS URBANO</v>
      </c>
      <c r="E24" s="2" t="s">
        <v>52</v>
      </c>
      <c r="F24" s="4">
        <v>46088</v>
      </c>
      <c r="G24" s="2" t="s">
        <v>38</v>
      </c>
      <c r="H24" s="2">
        <v>100</v>
      </c>
      <c r="I24" s="7" t="s">
        <v>89</v>
      </c>
      <c r="J24" s="2" t="s">
        <v>90</v>
      </c>
      <c r="K24" s="6">
        <v>1773699990750</v>
      </c>
      <c r="L24" s="2" t="s">
        <v>82</v>
      </c>
      <c r="M24" s="11">
        <v>46101</v>
      </c>
    </row>
    <row r="25" spans="1:13" s="39" customFormat="1" ht="15" thickBot="1" x14ac:dyDescent="0.35">
      <c r="A25" s="39">
        <f>IF(B25&lt;&gt;"", MAX($A$2:A24)+1, "")</f>
        <v>23</v>
      </c>
      <c r="B25" s="43">
        <v>120365</v>
      </c>
      <c r="C25" s="39" t="str">
        <f>VLOOKUP(B25, Terminales!$A$1:$B$15, 2, FALSE)</f>
        <v>TIENDA WONG ALDABAS SURCO AV BENAVIDES CDRA 52</v>
      </c>
      <c r="D25" s="40" t="str">
        <f>VLOOKUP(C25, Terminales!$B$1:$C$15, 2, FALSE)</f>
        <v>ROGGER GARCIA</v>
      </c>
      <c r="E25" s="40" t="s">
        <v>43</v>
      </c>
      <c r="F25" s="41">
        <v>46093</v>
      </c>
      <c r="G25" s="40" t="s">
        <v>38</v>
      </c>
      <c r="H25" s="40">
        <v>100</v>
      </c>
      <c r="I25" s="40" t="s">
        <v>91</v>
      </c>
      <c r="J25" s="40" t="s">
        <v>92</v>
      </c>
      <c r="K25" s="42">
        <v>1773700174347</v>
      </c>
      <c r="L25" s="40" t="s">
        <v>93</v>
      </c>
      <c r="M25" s="40"/>
    </row>
    <row r="26" spans="1:13" x14ac:dyDescent="0.3">
      <c r="A26">
        <f>IF(B26&lt;&gt;"", MAX($A$2:A25)+1, "")</f>
        <v>24</v>
      </c>
      <c r="B26" s="2">
        <v>102383</v>
      </c>
      <c r="C26" t="str">
        <f>VLOOKUP(B26, Terminales!$A$1:$B$15, 2, FALSE)</f>
        <v>WONG SAN MIGUEL I-PUERTA 2</v>
      </c>
      <c r="D26" s="2" t="str">
        <f>VLOOKUP(C26, Terminales!$B$1:$C$15, 2, FALSE)</f>
        <v>MILAGROS URBANO</v>
      </c>
      <c r="E26" s="2" t="s">
        <v>66</v>
      </c>
      <c r="F26" s="4">
        <v>46105</v>
      </c>
      <c r="G26" s="2" t="s">
        <v>38</v>
      </c>
      <c r="H26" s="2">
        <v>100</v>
      </c>
      <c r="I26" s="2" t="s">
        <v>94</v>
      </c>
      <c r="J26" s="2" t="s">
        <v>115</v>
      </c>
      <c r="K26" s="6">
        <v>1774370884043</v>
      </c>
      <c r="L26" s="2" t="s">
        <v>82</v>
      </c>
      <c r="M26" s="11">
        <v>46122</v>
      </c>
    </row>
    <row r="27" spans="1:13" x14ac:dyDescent="0.3">
      <c r="A27">
        <f>IF(B27&lt;&gt;"", MAX($A$2:A26)+1, "")</f>
        <v>25</v>
      </c>
      <c r="B27" s="8">
        <v>124930</v>
      </c>
      <c r="C27" t="str">
        <f>VLOOKUP(B27, Terminales!$A$1:$B$15, 2, FALSE)</f>
        <v>TIENDA MAGDALENA AV. JOSE GALVEZ N°695</v>
      </c>
      <c r="D27" s="2" t="str">
        <f>VLOOKUP(C27, Terminales!$B$1:$C$15, 2, FALSE)</f>
        <v>MILAGROS URBANO</v>
      </c>
      <c r="E27" s="2" t="s">
        <v>39</v>
      </c>
      <c r="F27" s="4">
        <v>46111</v>
      </c>
      <c r="G27" s="2" t="s">
        <v>38</v>
      </c>
      <c r="H27" s="2">
        <v>110</v>
      </c>
      <c r="I27" s="2" t="s">
        <v>96</v>
      </c>
      <c r="J27" s="2" t="s">
        <v>97</v>
      </c>
      <c r="K27" s="6">
        <v>1774992780550</v>
      </c>
      <c r="L27" s="2" t="s">
        <v>82</v>
      </c>
      <c r="M27" s="11">
        <v>46122</v>
      </c>
    </row>
    <row r="28" spans="1:13" x14ac:dyDescent="0.3">
      <c r="A28">
        <f>IF(B28&lt;&gt;"", MAX($A$2:A27)+1, "")</f>
        <v>26</v>
      </c>
      <c r="B28" s="2">
        <v>102383</v>
      </c>
      <c r="C28" t="str">
        <f>VLOOKUP(B28, Terminales!$A$1:$B$15, 2, FALSE)</f>
        <v>WONG SAN MIGUEL I-PUERTA 2</v>
      </c>
      <c r="D28" s="2" t="str">
        <f>VLOOKUP(C28, Terminales!$B$1:$C$15, 2, FALSE)</f>
        <v>MILAGROS URBANO</v>
      </c>
      <c r="E28" s="2" t="s">
        <v>52</v>
      </c>
      <c r="F28" s="4">
        <v>46113</v>
      </c>
      <c r="G28" s="2" t="s">
        <v>38</v>
      </c>
      <c r="H28" s="2">
        <v>110</v>
      </c>
      <c r="I28" s="2" t="s">
        <v>108</v>
      </c>
      <c r="J28" s="2" t="s">
        <v>109</v>
      </c>
      <c r="K28" s="6">
        <v>1775495330364</v>
      </c>
      <c r="L28" s="2" t="s">
        <v>82</v>
      </c>
      <c r="M28" s="11">
        <v>46122</v>
      </c>
    </row>
    <row r="29" spans="1:13" x14ac:dyDescent="0.3">
      <c r="A29">
        <v>27</v>
      </c>
      <c r="B29" s="2">
        <v>124930</v>
      </c>
      <c r="C29" t="str">
        <f>VLOOKUP(B29, Terminales!$A$1:$B$15, 2, FALSE)</f>
        <v>TIENDA MAGDALENA AV. JOSE GALVEZ N°695</v>
      </c>
      <c r="D29" s="2" t="str">
        <f>VLOOKUP(C29, Terminales!$B$1:$C$15, 2, FALSE)</f>
        <v>MILAGROS URBANO</v>
      </c>
      <c r="E29" s="2" t="s">
        <v>39</v>
      </c>
      <c r="F29" s="4">
        <v>46113</v>
      </c>
      <c r="G29" s="2" t="s">
        <v>38</v>
      </c>
      <c r="H29" s="2">
        <v>100</v>
      </c>
      <c r="I29" s="2" t="s">
        <v>110</v>
      </c>
      <c r="J29" s="2" t="s">
        <v>111</v>
      </c>
      <c r="K29" s="6">
        <v>1775495488886</v>
      </c>
      <c r="L29" s="2" t="s">
        <v>82</v>
      </c>
      <c r="M29" s="11">
        <v>46122</v>
      </c>
    </row>
    <row r="30" spans="1:13" x14ac:dyDescent="0.3">
      <c r="A30">
        <v>28</v>
      </c>
      <c r="B30" s="2">
        <v>125113</v>
      </c>
      <c r="C30" t="str">
        <f>VLOOKUP(B30, Terminales!$A$1:$B$15, 2, FALSE)</f>
        <v>TIENDA SJM AV. VARGAS MACHUCA N°314</v>
      </c>
      <c r="D30" s="2" t="str">
        <f>VLOOKUP(C30, Terminales!$B$1:$C$15, 2, FALSE)</f>
        <v>LEYDI ESTEBAN</v>
      </c>
      <c r="E30" s="2" t="s">
        <v>114</v>
      </c>
      <c r="F30" s="4">
        <v>46114</v>
      </c>
      <c r="G30" s="2" t="s">
        <v>45</v>
      </c>
      <c r="H30" s="2">
        <v>100</v>
      </c>
      <c r="I30" s="2" t="s">
        <v>112</v>
      </c>
      <c r="J30" s="2" t="s">
        <v>113</v>
      </c>
      <c r="K30" s="6">
        <v>1775496197466</v>
      </c>
      <c r="L30" s="2" t="s">
        <v>82</v>
      </c>
      <c r="M30" s="11">
        <v>46122</v>
      </c>
    </row>
    <row r="31" spans="1:13" s="29" customFormat="1" x14ac:dyDescent="0.3">
      <c r="A31" s="29">
        <v>29</v>
      </c>
      <c r="B31" s="32">
        <v>124930</v>
      </c>
      <c r="C31" s="29" t="str">
        <f>VLOOKUP(B31, Terminales!$A$1:$B$15, 2, FALSE)</f>
        <v>TIENDA MAGDALENA AV. JOSE GALVEZ N°695</v>
      </c>
      <c r="D31" s="2" t="str">
        <f>VLOOKUP(C31, Terminales!$B$1:$C$15, 2, FALSE)</f>
        <v>MILAGROS URBANO</v>
      </c>
      <c r="E31" s="24" t="s">
        <v>39</v>
      </c>
      <c r="F31" s="4">
        <v>46122</v>
      </c>
      <c r="G31" s="30" t="s">
        <v>38</v>
      </c>
      <c r="H31" s="2">
        <v>500</v>
      </c>
      <c r="I31" s="30" t="s">
        <v>117</v>
      </c>
      <c r="J31" s="30" t="s">
        <v>118</v>
      </c>
      <c r="K31" s="31">
        <v>1776103696001</v>
      </c>
      <c r="L31" s="30" t="s">
        <v>82</v>
      </c>
      <c r="M31" s="33">
        <v>46136</v>
      </c>
    </row>
    <row r="32" spans="1:13" s="29" customFormat="1" x14ac:dyDescent="0.3">
      <c r="A32" s="29">
        <v>30</v>
      </c>
      <c r="B32" s="32">
        <v>102383</v>
      </c>
      <c r="C32" s="29" t="str">
        <f>VLOOKUP(B32, Terminales!$A$1:$B$15, 2, FALSE)</f>
        <v>WONG SAN MIGUEL I-PUERTA 2</v>
      </c>
      <c r="D32" s="2" t="str">
        <f>VLOOKUP(C32, Terminales!$B$1:$C$15, 2, FALSE)</f>
        <v>MILAGROS URBANO</v>
      </c>
      <c r="E32" s="25" t="s">
        <v>52</v>
      </c>
      <c r="F32" s="4">
        <v>46123</v>
      </c>
      <c r="G32" s="30" t="s">
        <v>38</v>
      </c>
      <c r="H32" s="2">
        <v>100</v>
      </c>
      <c r="I32" s="30" t="s">
        <v>119</v>
      </c>
      <c r="J32" s="30" t="s">
        <v>120</v>
      </c>
      <c r="K32" s="31">
        <v>1776104239064</v>
      </c>
      <c r="L32" s="30" t="s">
        <v>82</v>
      </c>
      <c r="M32" s="33">
        <v>46136</v>
      </c>
    </row>
    <row r="33" spans="1:13" x14ac:dyDescent="0.3">
      <c r="A33">
        <v>31</v>
      </c>
      <c r="B33" s="8">
        <v>124930</v>
      </c>
      <c r="C33" t="str">
        <f>VLOOKUP(B33, Terminales!$A$1:$B$15, 2, FALSE)</f>
        <v>TIENDA MAGDALENA AV. JOSE GALVEZ N°695</v>
      </c>
      <c r="D33" s="2" t="str">
        <f>VLOOKUP(C33, Terminales!$B$1:$C$15, 2, FALSE)</f>
        <v>MILAGROS URBANO</v>
      </c>
      <c r="E33" s="2" t="s">
        <v>39</v>
      </c>
      <c r="F33" s="4">
        <v>46127</v>
      </c>
      <c r="G33" s="2" t="s">
        <v>38</v>
      </c>
      <c r="H33" s="2">
        <v>100</v>
      </c>
      <c r="I33" s="2" t="s">
        <v>122</v>
      </c>
      <c r="J33" s="2" t="s">
        <v>121</v>
      </c>
      <c r="K33" s="6">
        <v>1776361704483</v>
      </c>
      <c r="L33" s="2" t="s">
        <v>82</v>
      </c>
      <c r="M33" s="2"/>
    </row>
    <row r="34" spans="1:13" s="29" customFormat="1" x14ac:dyDescent="0.3">
      <c r="A34" s="29">
        <v>32</v>
      </c>
      <c r="B34" s="30">
        <v>120365</v>
      </c>
      <c r="C34" s="29" t="str">
        <f>VLOOKUP(B34, Terminales!$A$1:$B$15, 2, FALSE)</f>
        <v>TIENDA WONG ALDABAS SURCO AV BENAVIDES CDRA 52</v>
      </c>
      <c r="D34" s="2" t="str">
        <f>VLOOKUP(C34, Terminales!$B$1:$C$15, 2, FALSE)</f>
        <v>ROGGER GARCIA</v>
      </c>
      <c r="E34" s="2" t="s">
        <v>43</v>
      </c>
      <c r="F34" s="4">
        <v>46127</v>
      </c>
      <c r="G34" s="30" t="s">
        <v>45</v>
      </c>
      <c r="H34" s="2">
        <v>500</v>
      </c>
      <c r="I34" s="30" t="s">
        <v>89</v>
      </c>
      <c r="J34" s="30" t="s">
        <v>123</v>
      </c>
      <c r="K34" s="31">
        <v>1776361823542</v>
      </c>
      <c r="L34" s="30" t="s">
        <v>82</v>
      </c>
      <c r="M34" s="33">
        <v>46136</v>
      </c>
    </row>
    <row r="35" spans="1:13" x14ac:dyDescent="0.3">
      <c r="A35">
        <v>33</v>
      </c>
      <c r="B35" s="2">
        <v>124930</v>
      </c>
      <c r="C35" t="str">
        <f>VLOOKUP(B35, Terminales!$A$1:$B$15, 2, FALSE)</f>
        <v>TIENDA MAGDALENA AV. JOSE GALVEZ N°695</v>
      </c>
      <c r="D35" s="2" t="str">
        <f>VLOOKUP(C35, Terminales!$B$1:$C$15, 2, FALSE)</f>
        <v>MILAGROS URBANO</v>
      </c>
      <c r="E35" s="2" t="s">
        <v>39</v>
      </c>
      <c r="F35" s="4">
        <v>46132</v>
      </c>
      <c r="G35" s="2" t="s">
        <v>28</v>
      </c>
      <c r="H35" s="2">
        <v>100</v>
      </c>
      <c r="I35" s="2" t="s">
        <v>132</v>
      </c>
      <c r="J35" s="2" t="s">
        <v>129</v>
      </c>
      <c r="K35" s="6">
        <v>1778001587072</v>
      </c>
      <c r="L35" s="2" t="s">
        <v>82</v>
      </c>
      <c r="M35" s="2"/>
    </row>
    <row r="36" spans="1:13" s="34" customFormat="1" x14ac:dyDescent="0.3">
      <c r="A36" s="34">
        <v>34</v>
      </c>
      <c r="B36" s="35">
        <v>124930</v>
      </c>
      <c r="C36" s="34" t="str">
        <f>VLOOKUP(B36, Terminales!$A$1:$B$15, 2, FALSE)</f>
        <v>TIENDA MAGDALENA AV. JOSE GALVEZ N°695</v>
      </c>
      <c r="D36" s="35" t="str">
        <f>VLOOKUP(C36, Terminales!$B$1:$C$15, 2, FALSE)</f>
        <v>MILAGROS URBANO</v>
      </c>
      <c r="E36" s="35" t="s">
        <v>39</v>
      </c>
      <c r="F36" s="36">
        <v>46132</v>
      </c>
      <c r="G36" s="35" t="s">
        <v>28</v>
      </c>
      <c r="H36" s="35">
        <v>100</v>
      </c>
      <c r="I36" s="35" t="s">
        <v>130</v>
      </c>
      <c r="J36" s="35" t="s">
        <v>131</v>
      </c>
      <c r="K36" s="37">
        <v>1776808710684</v>
      </c>
      <c r="L36" s="35" t="s">
        <v>82</v>
      </c>
      <c r="M36" s="63">
        <v>46150</v>
      </c>
    </row>
    <row r="37" spans="1:13" x14ac:dyDescent="0.3">
      <c r="A37">
        <v>35</v>
      </c>
      <c r="B37" s="2">
        <v>127187</v>
      </c>
      <c r="C37" t="str">
        <f>VLOOKUP(B37, Terminales!$A$1:$B$15, 2, FALSE)</f>
        <v>TIENDA METRO SHELL</v>
      </c>
      <c r="D37" s="2" t="str">
        <f>VLOOKUP(C37, Terminales!$B$1:$C$15, 2, FALSE)</f>
        <v>SONALI APAZA</v>
      </c>
      <c r="E37" s="2" t="s">
        <v>163</v>
      </c>
      <c r="F37" s="4">
        <v>46133</v>
      </c>
      <c r="G37" s="2" t="s">
        <v>45</v>
      </c>
      <c r="H37" s="2">
        <v>40</v>
      </c>
      <c r="I37" s="2" t="s">
        <v>133</v>
      </c>
      <c r="J37" s="2" t="s">
        <v>134</v>
      </c>
      <c r="K37" s="6">
        <v>1777918708872</v>
      </c>
      <c r="L37" s="2" t="s">
        <v>93</v>
      </c>
      <c r="M37" s="2"/>
    </row>
    <row r="38" spans="1:13" s="34" customFormat="1" x14ac:dyDescent="0.3">
      <c r="A38" s="34">
        <v>36</v>
      </c>
      <c r="B38" s="35">
        <v>125124</v>
      </c>
      <c r="C38" s="34" t="str">
        <f>VLOOKUP(B38, Terminales!$A$1:$B$15, 2, FALSE)</f>
        <v>TIENDA PLAZA VEA CAMINOS DEL INCA</v>
      </c>
      <c r="D38" s="35" t="str">
        <f>VLOOKUP(C38, Terminales!$B$1:$C$15, 2, FALSE)</f>
        <v>WENDY OLMEDO</v>
      </c>
      <c r="E38" s="35" t="s">
        <v>164</v>
      </c>
      <c r="F38" s="36">
        <v>46135</v>
      </c>
      <c r="G38" s="35" t="s">
        <v>38</v>
      </c>
      <c r="H38" s="35">
        <v>100</v>
      </c>
      <c r="I38" s="35" t="s">
        <v>89</v>
      </c>
      <c r="J38" s="35" t="s">
        <v>135</v>
      </c>
      <c r="K38" s="37">
        <v>1777923100259</v>
      </c>
      <c r="L38" s="35" t="s">
        <v>82</v>
      </c>
      <c r="M38" s="63">
        <v>46150</v>
      </c>
    </row>
    <row r="39" spans="1:13" s="34" customFormat="1" x14ac:dyDescent="0.3">
      <c r="A39" s="34">
        <v>37</v>
      </c>
      <c r="B39" s="35">
        <v>120516</v>
      </c>
      <c r="C39" s="34" t="str">
        <f>VLOOKUP(B39, Terminales!$A$1:$B$15, 2, FALSE)</f>
        <v>TIENDA SURCO AV ENCALADA</v>
      </c>
      <c r="D39" s="35" t="str">
        <f>VLOOKUP(C39, Terminales!$B$1:$C$15, 2, FALSE)</f>
        <v>WENDY OLMEDO</v>
      </c>
      <c r="E39" s="35" t="s">
        <v>165</v>
      </c>
      <c r="F39" s="36">
        <v>46137</v>
      </c>
      <c r="G39" s="35" t="s">
        <v>38</v>
      </c>
      <c r="H39" s="35">
        <v>100</v>
      </c>
      <c r="I39" s="35" t="s">
        <v>136</v>
      </c>
      <c r="J39" s="35" t="s">
        <v>138</v>
      </c>
      <c r="K39" s="37">
        <v>1777923174091</v>
      </c>
      <c r="L39" s="35" t="s">
        <v>82</v>
      </c>
      <c r="M39" s="63">
        <v>46150</v>
      </c>
    </row>
    <row r="40" spans="1:13" s="64" customFormat="1" x14ac:dyDescent="0.3">
      <c r="A40" s="64">
        <v>38</v>
      </c>
      <c r="B40" s="65">
        <v>120378</v>
      </c>
      <c r="C40" s="64" t="str">
        <f>VLOOKUP(B40, Terminales!$A$1:$B$15, 2, FALSE)</f>
        <v>TIENDA METRO SAN MIGUEL AV LA MARINA</v>
      </c>
      <c r="D40" s="65" t="str">
        <f>VLOOKUP(C40, Terminales!$B$1:$C$15, 2, FALSE)</f>
        <v>MILAGROS URBANO</v>
      </c>
      <c r="E40" s="65" t="s">
        <v>166</v>
      </c>
      <c r="F40" s="66">
        <v>46137</v>
      </c>
      <c r="G40" s="65" t="s">
        <v>38</v>
      </c>
      <c r="H40" s="65">
        <v>100</v>
      </c>
      <c r="I40" s="65" t="s">
        <v>137</v>
      </c>
      <c r="J40" s="65" t="s">
        <v>139</v>
      </c>
      <c r="K40" s="67">
        <v>1777923265214</v>
      </c>
      <c r="L40" s="65" t="s">
        <v>82</v>
      </c>
      <c r="M40" s="70">
        <v>46171</v>
      </c>
    </row>
    <row r="41" spans="1:13" s="86" customFormat="1" ht="15" thickBot="1" x14ac:dyDescent="0.35">
      <c r="A41" s="86">
        <v>39</v>
      </c>
      <c r="B41" s="87">
        <v>125124</v>
      </c>
      <c r="C41" s="86" t="str">
        <f>VLOOKUP(B41, Terminales!$A$1:$B$15, 2, FALSE)</f>
        <v>TIENDA PLAZA VEA CAMINOS DEL INCA</v>
      </c>
      <c r="D41" s="87" t="str">
        <f>VLOOKUP(C41, Terminales!$B$1:$C$15, 2, FALSE)</f>
        <v>WENDY OLMEDO</v>
      </c>
      <c r="E41" s="87" t="s">
        <v>164</v>
      </c>
      <c r="F41" s="88">
        <v>46138</v>
      </c>
      <c r="G41" s="87" t="s">
        <v>28</v>
      </c>
      <c r="H41" s="87">
        <v>100</v>
      </c>
      <c r="I41" s="87" t="s">
        <v>140</v>
      </c>
      <c r="J41" s="87" t="s">
        <v>141</v>
      </c>
      <c r="K41" s="89">
        <v>1777923395756</v>
      </c>
      <c r="L41" s="87" t="s">
        <v>82</v>
      </c>
      <c r="M41" s="87"/>
    </row>
    <row r="42" spans="1:13" s="64" customFormat="1" x14ac:dyDescent="0.3">
      <c r="A42" s="64">
        <v>40</v>
      </c>
      <c r="B42" s="65">
        <v>120365</v>
      </c>
      <c r="C42" s="64" t="str">
        <f>VLOOKUP(B42, Terminales!$A$1:$B$15, 2, FALSE)</f>
        <v>TIENDA WONG ALDABAS SURCO AV BENAVIDES CDRA 52</v>
      </c>
      <c r="D42" s="65" t="str">
        <f>VLOOKUP(C42, Terminales!$B$1:$C$15, 2, FALSE)</f>
        <v>ROGGER GARCIA</v>
      </c>
      <c r="E42" s="65" t="s">
        <v>43</v>
      </c>
      <c r="F42" s="66">
        <v>46147</v>
      </c>
      <c r="G42" s="65" t="s">
        <v>28</v>
      </c>
      <c r="H42" s="65">
        <v>100</v>
      </c>
      <c r="I42" s="65" t="s">
        <v>108</v>
      </c>
      <c r="J42" s="65" t="s">
        <v>155</v>
      </c>
      <c r="K42" s="67">
        <v>1779135333830</v>
      </c>
      <c r="L42" s="65" t="s">
        <v>82</v>
      </c>
      <c r="M42" s="70">
        <v>46171</v>
      </c>
    </row>
    <row r="43" spans="1:13" x14ac:dyDescent="0.3">
      <c r="A43">
        <v>41</v>
      </c>
      <c r="B43" s="2">
        <v>120937</v>
      </c>
      <c r="C43" t="str">
        <f>VLOOKUP(B43, Terminales!$A$1:$B$15, 2, FALSE)</f>
        <v>TIENDA LA MOLINA AV LA MOLINA</v>
      </c>
      <c r="D43" s="2" t="str">
        <f>VLOOKUP(C43, Terminales!$B$1:$C$15, 2, FALSE)</f>
        <v>ALINA UNTAMA</v>
      </c>
      <c r="E43" s="2" t="s">
        <v>37</v>
      </c>
      <c r="F43" s="4">
        <v>46152</v>
      </c>
      <c r="G43" s="2" t="s">
        <v>45</v>
      </c>
      <c r="H43" s="2">
        <v>100</v>
      </c>
      <c r="I43" s="2" t="s">
        <v>156</v>
      </c>
      <c r="J43" s="2" t="s">
        <v>157</v>
      </c>
      <c r="K43" s="6">
        <v>1779135425236</v>
      </c>
      <c r="L43" s="2" t="s">
        <v>93</v>
      </c>
      <c r="M43" s="2"/>
    </row>
    <row r="44" spans="1:13" s="64" customFormat="1" x14ac:dyDescent="0.3">
      <c r="A44" s="64">
        <v>42</v>
      </c>
      <c r="B44" s="65">
        <v>120365</v>
      </c>
      <c r="C44" s="64" t="str">
        <f>VLOOKUP(B44, Terminales!$A$1:$B$15, 2, FALSE)</f>
        <v>TIENDA WONG ALDABAS SURCO AV BENAVIDES CDRA 52</v>
      </c>
      <c r="D44" s="65" t="str">
        <f>VLOOKUP(C44, Terminales!$B$1:$C$15, 2, FALSE)</f>
        <v>ROGGER GARCIA</v>
      </c>
      <c r="E44" s="65" t="s">
        <v>43</v>
      </c>
      <c r="F44" s="66">
        <v>46153</v>
      </c>
      <c r="G44" s="65" t="s">
        <v>38</v>
      </c>
      <c r="H44" s="65">
        <v>100</v>
      </c>
      <c r="I44" s="65" t="s">
        <v>108</v>
      </c>
      <c r="J44" s="65" t="s">
        <v>158</v>
      </c>
      <c r="K44" s="67">
        <v>1779135561827</v>
      </c>
      <c r="L44" s="65" t="s">
        <v>82</v>
      </c>
      <c r="M44" s="70">
        <v>46171</v>
      </c>
    </row>
    <row r="45" spans="1:13" s="64" customFormat="1" x14ac:dyDescent="0.3">
      <c r="A45" s="64">
        <v>43</v>
      </c>
      <c r="B45" s="65">
        <v>127187</v>
      </c>
      <c r="C45" s="64" t="str">
        <f>VLOOKUP(B45, Terminales!$A$1:$B$15, 2, FALSE)</f>
        <v>TIENDA METRO SHELL</v>
      </c>
      <c r="D45" s="65" t="str">
        <f>VLOOKUP(C45, Terminales!$B$1:$C$15, 2, FALSE)</f>
        <v>SONALI APAZA</v>
      </c>
      <c r="E45" s="65" t="s">
        <v>163</v>
      </c>
      <c r="F45" s="66">
        <v>46157</v>
      </c>
      <c r="G45" s="65" t="s">
        <v>38</v>
      </c>
      <c r="H45" s="65">
        <v>100</v>
      </c>
      <c r="I45" s="65" t="s">
        <v>160</v>
      </c>
      <c r="J45" s="65" t="s">
        <v>159</v>
      </c>
      <c r="K45" s="67" t="s">
        <v>162</v>
      </c>
      <c r="L45" s="65" t="s">
        <v>82</v>
      </c>
      <c r="M45" s="70">
        <v>46171</v>
      </c>
    </row>
    <row r="46" spans="1:13" s="71" customFormat="1" x14ac:dyDescent="0.3">
      <c r="A46" s="71">
        <v>44</v>
      </c>
      <c r="B46" s="73">
        <v>120365</v>
      </c>
      <c r="C46" s="71" t="str">
        <f>VLOOKUP(B46, Terminales!$A$1:$B$15, 2, FALSE)</f>
        <v>TIENDA WONG ALDABAS SURCO AV BENAVIDES CDRA 52</v>
      </c>
      <c r="D46" s="73" t="str">
        <f>VLOOKUP(C46, Terminales!$B$1:$C$15, 2, FALSE)</f>
        <v>ROGGER GARCIA</v>
      </c>
      <c r="E46" s="73" t="s">
        <v>43</v>
      </c>
      <c r="F46" s="74">
        <v>46161</v>
      </c>
      <c r="G46" s="73" t="s">
        <v>28</v>
      </c>
      <c r="H46" s="73">
        <v>100</v>
      </c>
      <c r="I46" s="73" t="s">
        <v>167</v>
      </c>
      <c r="J46" s="73" t="s">
        <v>168</v>
      </c>
      <c r="K46" s="75">
        <v>1780417507158</v>
      </c>
      <c r="L46" s="73" t="s">
        <v>82</v>
      </c>
      <c r="M46" s="76">
        <v>46239</v>
      </c>
    </row>
    <row r="47" spans="1:13" s="71" customFormat="1" x14ac:dyDescent="0.3">
      <c r="A47" s="71">
        <v>45</v>
      </c>
      <c r="B47" s="73">
        <v>120365</v>
      </c>
      <c r="C47" s="71" t="str">
        <f>VLOOKUP(B47, Terminales!$A$1:$B$15, 2, FALSE)</f>
        <v>TIENDA WONG ALDABAS SURCO AV BENAVIDES CDRA 52</v>
      </c>
      <c r="D47" s="73" t="str">
        <f>VLOOKUP(C47, Terminales!$B$1:$C$15, 2, FALSE)</f>
        <v>ROGGER GARCIA</v>
      </c>
      <c r="E47" s="73" t="s">
        <v>170</v>
      </c>
      <c r="F47" s="74">
        <v>46169</v>
      </c>
      <c r="G47" s="73" t="s">
        <v>38</v>
      </c>
      <c r="H47" s="73">
        <v>100</v>
      </c>
      <c r="I47" s="73" t="s">
        <v>169</v>
      </c>
      <c r="J47" s="73" t="s">
        <v>171</v>
      </c>
      <c r="K47" s="75">
        <v>1780418170493</v>
      </c>
      <c r="L47" s="73" t="s">
        <v>82</v>
      </c>
      <c r="M47" s="76">
        <v>46239</v>
      </c>
    </row>
    <row r="48" spans="1:13" s="78" customFormat="1" x14ac:dyDescent="0.3">
      <c r="A48" s="78">
        <v>46</v>
      </c>
      <c r="B48" s="79">
        <v>120365</v>
      </c>
      <c r="C48" s="78" t="str">
        <f>VLOOKUP(B48, Terminales!$A$1:$B$15, 2, FALSE)</f>
        <v>TIENDA WONG ALDABAS SURCO AV BENAVIDES CDRA 52</v>
      </c>
      <c r="D48" s="79" t="str">
        <f>VLOOKUP(C48, Terminales!$B$1:$C$15, 2, FALSE)</f>
        <v>ROGGER GARCIA</v>
      </c>
      <c r="E48" s="79" t="s">
        <v>43</v>
      </c>
      <c r="F48" s="80">
        <v>46170</v>
      </c>
      <c r="G48" s="79" t="s">
        <v>38</v>
      </c>
      <c r="H48" s="79">
        <v>100</v>
      </c>
      <c r="I48" s="79" t="s">
        <v>172</v>
      </c>
      <c r="J48" s="79" t="s">
        <v>173</v>
      </c>
      <c r="K48" s="81">
        <v>1781802645287</v>
      </c>
      <c r="L48" s="79" t="s">
        <v>82</v>
      </c>
      <c r="M48" s="79"/>
    </row>
    <row r="49" spans="1:13" s="71" customFormat="1" x14ac:dyDescent="0.3">
      <c r="A49" s="71">
        <v>47</v>
      </c>
      <c r="B49" s="73"/>
      <c r="C49" s="71" t="e">
        <f>VLOOKUP(B49, Terminales!$A$1:$B$15, 2, FALSE)</f>
        <v>#N/A</v>
      </c>
      <c r="D49" s="73" t="e">
        <f>VLOOKUP(C49, Terminales!$B$1:$C$15, 2, FALSE)</f>
        <v>#N/A</v>
      </c>
      <c r="E49" s="73" t="s">
        <v>66</v>
      </c>
      <c r="F49" s="74">
        <v>46175</v>
      </c>
      <c r="G49" s="73" t="s">
        <v>38</v>
      </c>
      <c r="H49" s="73">
        <v>100</v>
      </c>
      <c r="I49" s="73" t="s">
        <v>176</v>
      </c>
      <c r="J49" s="73" t="s">
        <v>177</v>
      </c>
      <c r="K49" s="75">
        <v>1781803100903</v>
      </c>
      <c r="L49" s="73" t="s">
        <v>82</v>
      </c>
      <c r="M49" s="76">
        <v>46239</v>
      </c>
    </row>
    <row r="50" spans="1:13" s="78" customFormat="1" x14ac:dyDescent="0.3">
      <c r="A50" s="78">
        <v>48</v>
      </c>
      <c r="B50" s="79">
        <v>120365</v>
      </c>
      <c r="C50" s="78" t="str">
        <f>VLOOKUP(B50, Terminales!$A$1:$B$15, 2, FALSE)</f>
        <v>TIENDA WONG ALDABAS SURCO AV BENAVIDES CDRA 52</v>
      </c>
      <c r="D50" s="79" t="str">
        <f>VLOOKUP(C50, Terminales!$B$1:$C$15, 2, FALSE)</f>
        <v>ROGGER GARCIA</v>
      </c>
      <c r="E50" s="79" t="s">
        <v>170</v>
      </c>
      <c r="F50" s="80">
        <v>46176</v>
      </c>
      <c r="G50" s="79" t="s">
        <v>38</v>
      </c>
      <c r="H50" s="79">
        <v>100</v>
      </c>
      <c r="I50" s="79" t="s">
        <v>178</v>
      </c>
      <c r="J50" s="79" t="s">
        <v>180</v>
      </c>
      <c r="K50" s="81">
        <v>1781803541437</v>
      </c>
      <c r="L50" s="79" t="s">
        <v>82</v>
      </c>
      <c r="M50" s="79"/>
    </row>
    <row r="51" spans="1:13" s="82" customFormat="1" x14ac:dyDescent="0.3">
      <c r="A51" s="82">
        <v>49</v>
      </c>
      <c r="B51" s="83">
        <v>124930</v>
      </c>
      <c r="C51" s="82" t="str">
        <f>VLOOKUP(B51, Terminales!$A$1:$B$15, 2, FALSE)</f>
        <v>TIENDA MAGDALENA AV. JOSE GALVEZ N°695</v>
      </c>
      <c r="D51" s="83" t="str">
        <f>VLOOKUP(C51, Terminales!$B$1:$C$15, 2, FALSE)</f>
        <v>MILAGROS URBANO</v>
      </c>
      <c r="E51" s="83" t="s">
        <v>39</v>
      </c>
      <c r="F51" s="84">
        <v>46177</v>
      </c>
      <c r="G51" s="83" t="s">
        <v>38</v>
      </c>
      <c r="H51" s="83">
        <v>100</v>
      </c>
      <c r="I51" s="83" t="s">
        <v>181</v>
      </c>
      <c r="J51" s="83" t="s">
        <v>179</v>
      </c>
      <c r="K51" s="85">
        <v>1781803710335</v>
      </c>
      <c r="L51" s="83" t="s">
        <v>82</v>
      </c>
      <c r="M51" s="83"/>
    </row>
    <row r="52" spans="1:13" s="82" customFormat="1" x14ac:dyDescent="0.3">
      <c r="A52" s="82">
        <v>50</v>
      </c>
      <c r="B52" s="83">
        <v>124930</v>
      </c>
      <c r="C52" s="82" t="str">
        <f>VLOOKUP(B52, Terminales!$A$1:$B$15, 2, FALSE)</f>
        <v>TIENDA MAGDALENA AV. JOSE GALVEZ N°695</v>
      </c>
      <c r="D52" s="83" t="str">
        <f>VLOOKUP(C52, Terminales!$B$1:$C$15, 2, FALSE)</f>
        <v>MILAGROS URBANO</v>
      </c>
      <c r="E52" s="83" t="s">
        <v>39</v>
      </c>
      <c r="F52" s="84">
        <v>46188</v>
      </c>
      <c r="G52" s="83" t="s">
        <v>38</v>
      </c>
      <c r="H52" s="83">
        <v>100</v>
      </c>
      <c r="I52" s="83" t="s">
        <v>183</v>
      </c>
      <c r="J52" s="83" t="s">
        <v>184</v>
      </c>
      <c r="K52" s="85">
        <v>1784583770314</v>
      </c>
      <c r="L52" s="83" t="s">
        <v>82</v>
      </c>
      <c r="M52" s="83"/>
    </row>
    <row r="53" spans="1:13" s="82" customFormat="1" x14ac:dyDescent="0.3">
      <c r="A53" s="82">
        <v>51</v>
      </c>
      <c r="B53" s="83">
        <v>124930</v>
      </c>
      <c r="C53" s="82" t="str">
        <f>VLOOKUP(B53, Terminales!$A$1:$B$15, 2, FALSE)</f>
        <v>TIENDA MAGDALENA AV. JOSE GALVEZ N°695</v>
      </c>
      <c r="D53" s="83" t="str">
        <f>VLOOKUP(C53, Terminales!$B$1:$C$15, 2, FALSE)</f>
        <v>MILAGROS URBANO</v>
      </c>
      <c r="E53" s="83" t="s">
        <v>39</v>
      </c>
      <c r="F53" s="84">
        <v>46188</v>
      </c>
      <c r="G53" s="83" t="s">
        <v>38</v>
      </c>
      <c r="H53" s="83">
        <v>100</v>
      </c>
      <c r="I53" s="83" t="s">
        <v>185</v>
      </c>
      <c r="J53" s="83" t="s">
        <v>186</v>
      </c>
      <c r="K53" s="85">
        <v>1784583828172</v>
      </c>
      <c r="L53" s="83" t="s">
        <v>82</v>
      </c>
      <c r="M53" s="83"/>
    </row>
    <row r="54" spans="1:13" s="93" customFormat="1" x14ac:dyDescent="0.3">
      <c r="A54" s="93">
        <v>53</v>
      </c>
      <c r="B54" s="94">
        <v>124930</v>
      </c>
      <c r="C54" s="93" t="str">
        <f>VLOOKUP(B54, Terminales!$A$1:$B$15, 2, FALSE)</f>
        <v>TIENDA MAGDALENA AV. JOSE GALVEZ N°695</v>
      </c>
      <c r="D54" s="94" t="str">
        <f>VLOOKUP(C54, Terminales!$B$1:$C$15, 2, FALSE)</f>
        <v>MILAGROS URBANO</v>
      </c>
      <c r="E54" s="94" t="s">
        <v>39</v>
      </c>
      <c r="F54" s="95">
        <v>46190</v>
      </c>
      <c r="G54" s="94" t="s">
        <v>38</v>
      </c>
      <c r="H54" s="94">
        <v>100</v>
      </c>
      <c r="I54" s="94" t="s">
        <v>187</v>
      </c>
      <c r="J54" s="94" t="s">
        <v>188</v>
      </c>
      <c r="K54" s="96">
        <v>1784584029735</v>
      </c>
      <c r="L54" s="94" t="s">
        <v>82</v>
      </c>
      <c r="M54" s="94"/>
    </row>
    <row r="55" spans="1:13" s="93" customFormat="1" x14ac:dyDescent="0.3">
      <c r="A55" s="93">
        <v>54</v>
      </c>
      <c r="B55" s="94">
        <v>124930</v>
      </c>
      <c r="C55" s="93" t="str">
        <f>VLOOKUP(B55, Terminales!$A$1:$B$15, 2, FALSE)</f>
        <v>TIENDA MAGDALENA AV. JOSE GALVEZ N°695</v>
      </c>
      <c r="D55" s="94" t="str">
        <f>VLOOKUP(C55, Terminales!$B$1:$C$15, 2, FALSE)</f>
        <v>MILAGROS URBANO</v>
      </c>
      <c r="E55" s="94" t="s">
        <v>39</v>
      </c>
      <c r="F55" s="95">
        <v>46190</v>
      </c>
      <c r="G55" s="94" t="s">
        <v>38</v>
      </c>
      <c r="H55" s="94">
        <v>100</v>
      </c>
      <c r="I55" s="94" t="s">
        <v>189</v>
      </c>
      <c r="J55" s="94" t="s">
        <v>190</v>
      </c>
      <c r="K55" s="96">
        <v>1784584107926</v>
      </c>
      <c r="L55" s="94" t="s">
        <v>82</v>
      </c>
      <c r="M55" s="94"/>
    </row>
    <row r="56" spans="1:13" s="90" customFormat="1" x14ac:dyDescent="0.3">
      <c r="A56" s="90">
        <v>55</v>
      </c>
      <c r="B56" s="7">
        <v>120365</v>
      </c>
      <c r="C56" s="90" t="str">
        <f>VLOOKUP(B56, Terminales!$A$1:$B$15, 2, FALSE)</f>
        <v>TIENDA WONG ALDABAS SURCO AV BENAVIDES CDRA 52</v>
      </c>
      <c r="D56" s="7" t="str">
        <f>VLOOKUP(C56, Terminales!$B$1:$C$15, 2, FALSE)</f>
        <v>ROGGER GARCIA</v>
      </c>
      <c r="E56" s="7" t="s">
        <v>170</v>
      </c>
      <c r="F56" s="91">
        <v>46190</v>
      </c>
      <c r="G56" s="7" t="s">
        <v>73</v>
      </c>
      <c r="H56" s="7">
        <v>500</v>
      </c>
      <c r="I56" s="7" t="s">
        <v>182</v>
      </c>
      <c r="J56" s="7" t="s">
        <v>191</v>
      </c>
      <c r="K56" s="92">
        <v>1782413805611</v>
      </c>
      <c r="L56" s="7" t="s">
        <v>82</v>
      </c>
      <c r="M56" s="7" t="s">
        <v>192</v>
      </c>
    </row>
    <row r="57" spans="1:13" s="82" customFormat="1" x14ac:dyDescent="0.3">
      <c r="A57" s="82">
        <v>56</v>
      </c>
      <c r="B57" s="83"/>
      <c r="C57" s="82" t="e">
        <f>VLOOKUP(B57, Terminales!$A$1:$B$15, 2, FALSE)</f>
        <v>#N/A</v>
      </c>
      <c r="D57" s="83" t="e">
        <f>VLOOKUP(C57, Terminales!$B$1:$C$15, 2, FALSE)</f>
        <v>#N/A</v>
      </c>
      <c r="E57" s="83" t="s">
        <v>66</v>
      </c>
      <c r="F57" s="84">
        <v>46191</v>
      </c>
      <c r="G57" s="83" t="s">
        <v>28</v>
      </c>
      <c r="H57" s="83">
        <v>100</v>
      </c>
      <c r="I57" s="83" t="s">
        <v>194</v>
      </c>
      <c r="J57" s="83" t="s">
        <v>193</v>
      </c>
      <c r="K57" s="85">
        <v>1784584375380</v>
      </c>
      <c r="L57" s="83" t="s">
        <v>82</v>
      </c>
      <c r="M57" s="83"/>
    </row>
    <row r="58" spans="1:13" x14ac:dyDescent="0.3">
      <c r="A58">
        <v>57</v>
      </c>
      <c r="B58" s="2">
        <v>124930</v>
      </c>
      <c r="C58" t="str">
        <f>VLOOKUP(B58, Terminales!$A$1:$B$15, 2, FALSE)</f>
        <v>TIENDA MAGDALENA AV. JOSE GALVEZ N°695</v>
      </c>
      <c r="D58" s="2" t="str">
        <f>VLOOKUP(C58, Terminales!$B$1:$C$15, 2, FALSE)</f>
        <v>MILAGROS URBANO</v>
      </c>
      <c r="E58" s="2" t="s">
        <v>39</v>
      </c>
      <c r="F58" s="4">
        <v>46194</v>
      </c>
      <c r="I58" s="2" t="s">
        <v>197</v>
      </c>
      <c r="J58" s="2" t="s">
        <v>196</v>
      </c>
      <c r="K58" s="6">
        <v>1786399341200</v>
      </c>
      <c r="L58" s="2" t="s">
        <v>82</v>
      </c>
      <c r="M58" s="2"/>
    </row>
    <row r="59" spans="1:13" s="93" customFormat="1" ht="12.6" customHeight="1" x14ac:dyDescent="0.3">
      <c r="A59" s="93">
        <v>58</v>
      </c>
      <c r="B59" s="94">
        <v>120365</v>
      </c>
      <c r="C59" s="93" t="str">
        <f>VLOOKUP(B59, Terminales!$A$1:$B$15, 2, FALSE)</f>
        <v>TIENDA WONG ALDABAS SURCO AV BENAVIDES CDRA 52</v>
      </c>
      <c r="D59" s="94" t="str">
        <f>VLOOKUP(C59, Terminales!$B$1:$C$15, 2, FALSE)</f>
        <v>ROGGER GARCIA</v>
      </c>
      <c r="E59" s="94" t="s">
        <v>43</v>
      </c>
      <c r="F59" s="95">
        <v>46196</v>
      </c>
      <c r="G59" s="94" t="s">
        <v>45</v>
      </c>
      <c r="H59" s="94">
        <v>1000</v>
      </c>
      <c r="I59" s="94" t="s">
        <v>119</v>
      </c>
      <c r="J59" s="94" t="s">
        <v>195</v>
      </c>
      <c r="K59" s="96">
        <v>1786399424437</v>
      </c>
      <c r="L59" s="94" t="s">
        <v>82</v>
      </c>
      <c r="M59" s="94"/>
    </row>
    <row r="60" spans="1:13" s="93" customFormat="1" x14ac:dyDescent="0.3">
      <c r="A60" s="93">
        <v>59</v>
      </c>
      <c r="B60" s="94">
        <v>124930</v>
      </c>
      <c r="C60" s="93" t="str">
        <f>VLOOKUP(B60, Terminales!$A$1:$B$15, 2, FALSE)</f>
        <v>TIENDA MAGDALENA AV. JOSE GALVEZ N°695</v>
      </c>
      <c r="D60" s="94" t="str">
        <f>VLOOKUP(C60, Terminales!$B$1:$C$15, 2, FALSE)</f>
        <v>MILAGROS URBANO</v>
      </c>
      <c r="E60" s="94" t="s">
        <v>39</v>
      </c>
      <c r="F60" s="95">
        <v>46197</v>
      </c>
      <c r="G60" s="94" t="s">
        <v>38</v>
      </c>
      <c r="H60" s="94">
        <v>100</v>
      </c>
      <c r="I60" s="94" t="s">
        <v>181</v>
      </c>
      <c r="J60" s="94" t="s">
        <v>198</v>
      </c>
      <c r="K60" s="96">
        <v>1786399679603</v>
      </c>
      <c r="L60" s="94" t="s">
        <v>82</v>
      </c>
      <c r="M60" s="94"/>
    </row>
    <row r="61" spans="1:13" x14ac:dyDescent="0.3">
      <c r="A61">
        <v>60</v>
      </c>
      <c r="B61" s="2">
        <v>120101</v>
      </c>
      <c r="C61" t="str">
        <f>VLOOKUP(B61, Terminales!$A$1:$B$21, 2, FALSE)</f>
        <v>TIENDA METRO SURQUILLO CL LAS TIENDAS</v>
      </c>
      <c r="D61" s="2" t="e">
        <f>VLOOKUP(C61, Terminales!$B$1:$C$15, 2, FALSE)</f>
        <v>#N/A</v>
      </c>
      <c r="E61" s="2" t="s">
        <v>199</v>
      </c>
      <c r="F61" s="4">
        <v>46198</v>
      </c>
      <c r="G61" s="2" t="s">
        <v>38</v>
      </c>
      <c r="H61" s="2">
        <v>100</v>
      </c>
      <c r="J61" s="2" t="s">
        <v>200</v>
      </c>
      <c r="L61" s="2" t="s">
        <v>93</v>
      </c>
      <c r="M61" s="2"/>
    </row>
    <row r="62" spans="1:13" x14ac:dyDescent="0.3">
      <c r="A62">
        <v>61</v>
      </c>
      <c r="B62" s="2">
        <v>124930</v>
      </c>
      <c r="C62" t="str">
        <f>VLOOKUP(B62, Terminales!$A$1:$B$15, 2, FALSE)</f>
        <v>TIENDA MAGDALENA AV. JOSE GALVEZ N°695</v>
      </c>
      <c r="D62" s="2" t="str">
        <f>VLOOKUP(C62, Terminales!$B$1:$C$15, 2, FALSE)</f>
        <v>MILAGROS URBANO</v>
      </c>
      <c r="E62" s="2" t="s">
        <v>39</v>
      </c>
      <c r="F62" s="4">
        <v>46199</v>
      </c>
      <c r="G62" s="2" t="s">
        <v>38</v>
      </c>
      <c r="H62" s="2">
        <v>100</v>
      </c>
      <c r="I62" s="2" t="s">
        <v>83</v>
      </c>
      <c r="J62" s="2" t="s">
        <v>201</v>
      </c>
      <c r="K62" s="6">
        <v>1786400364441</v>
      </c>
      <c r="L62" s="2" t="s">
        <v>82</v>
      </c>
      <c r="M62" s="2"/>
    </row>
    <row r="63" spans="1:13" s="78" customFormat="1" x14ac:dyDescent="0.3">
      <c r="A63" s="78">
        <v>62</v>
      </c>
      <c r="B63" s="79">
        <v>102383</v>
      </c>
      <c r="C63" s="78" t="str">
        <f>VLOOKUP(B63, Terminales!$A$1:$B$15, 2, FALSE)</f>
        <v>WONG SAN MIGUEL I-PUERTA 2</v>
      </c>
      <c r="D63" s="79" t="str">
        <f>VLOOKUP(C63, Terminales!$B$1:$C$15, 2, FALSE)</f>
        <v>MILAGROS URBANO</v>
      </c>
      <c r="E63" s="79" t="s">
        <v>52</v>
      </c>
      <c r="F63" s="80">
        <v>46200</v>
      </c>
      <c r="G63" s="79" t="s">
        <v>45</v>
      </c>
      <c r="H63" s="79">
        <v>500</v>
      </c>
      <c r="I63" s="79" t="s">
        <v>202</v>
      </c>
      <c r="J63" s="79" t="s">
        <v>203</v>
      </c>
      <c r="K63" s="81">
        <v>1786400463893</v>
      </c>
      <c r="L63" s="79" t="s">
        <v>82</v>
      </c>
      <c r="M63" s="79"/>
    </row>
    <row r="64" spans="1:13" x14ac:dyDescent="0.3">
      <c r="A64">
        <v>63</v>
      </c>
      <c r="B64" s="2">
        <v>124930</v>
      </c>
      <c r="C64" t="str">
        <f>VLOOKUP(B64, Terminales!$A$1:$B$15, 2, FALSE)</f>
        <v>TIENDA MAGDALENA AV. JOSE GALVEZ N°695</v>
      </c>
      <c r="D64" s="2" t="str">
        <f>VLOOKUP(C64, Terminales!$B$1:$C$15, 2, FALSE)</f>
        <v>MILAGROS URBANO</v>
      </c>
      <c r="E64" s="2" t="s">
        <v>36</v>
      </c>
      <c r="F64" s="4">
        <v>46200</v>
      </c>
      <c r="G64" s="2" t="s">
        <v>73</v>
      </c>
      <c r="H64" s="2">
        <v>500</v>
      </c>
      <c r="I64" s="2" t="s">
        <v>205</v>
      </c>
      <c r="J64" s="2" t="s">
        <v>204</v>
      </c>
      <c r="K64" s="6">
        <v>1786400549601</v>
      </c>
      <c r="L64" s="2" t="s">
        <v>82</v>
      </c>
      <c r="M64" s="2"/>
    </row>
    <row r="65" spans="1:13" x14ac:dyDescent="0.3">
      <c r="A65">
        <v>64</v>
      </c>
      <c r="B65" s="2">
        <v>124930</v>
      </c>
      <c r="C65" t="str">
        <f>VLOOKUP(B65, Terminales!$A$1:$B$15, 2, FALSE)</f>
        <v>TIENDA MAGDALENA AV. JOSE GALVEZ N°695</v>
      </c>
      <c r="D65" s="2" t="str">
        <f>VLOOKUP(C65, Terminales!$B$1:$C$15, 2, FALSE)</f>
        <v>MILAGROS URBANO</v>
      </c>
      <c r="E65" s="2" t="s">
        <v>39</v>
      </c>
      <c r="F65" s="4">
        <v>46201</v>
      </c>
      <c r="G65" s="2" t="s">
        <v>38</v>
      </c>
      <c r="H65" s="2">
        <v>100</v>
      </c>
      <c r="I65" s="2" t="s">
        <v>206</v>
      </c>
      <c r="J65" s="2" t="s">
        <v>207</v>
      </c>
      <c r="K65" s="6">
        <v>1786400676040</v>
      </c>
      <c r="L65" s="2" t="s">
        <v>82</v>
      </c>
      <c r="M65" s="2"/>
    </row>
    <row r="66" spans="1:13" x14ac:dyDescent="0.3">
      <c r="A66">
        <v>65</v>
      </c>
      <c r="B66" s="2">
        <v>124930</v>
      </c>
      <c r="C66" t="str">
        <f>VLOOKUP(B66, Terminales!$A$1:$B$15, 2, FALSE)</f>
        <v>TIENDA MAGDALENA AV. JOSE GALVEZ N°695</v>
      </c>
      <c r="D66" s="2" t="str">
        <f>VLOOKUP(C66, Terminales!$B$1:$C$15, 2, FALSE)</f>
        <v>MILAGROS URBANO</v>
      </c>
      <c r="E66" s="2" t="s">
        <v>39</v>
      </c>
      <c r="F66" s="4">
        <v>46202</v>
      </c>
      <c r="G66" s="2" t="s">
        <v>38</v>
      </c>
      <c r="H66" s="2">
        <v>100</v>
      </c>
      <c r="I66" s="2" t="s">
        <v>181</v>
      </c>
      <c r="J66" s="2" t="s">
        <v>208</v>
      </c>
      <c r="K66" s="6">
        <v>1786400802604</v>
      </c>
      <c r="L66" s="2" t="s">
        <v>82</v>
      </c>
      <c r="M66" s="2"/>
    </row>
    <row r="67" spans="1:13" s="78" customFormat="1" x14ac:dyDescent="0.3">
      <c r="A67" s="78">
        <v>66</v>
      </c>
      <c r="B67" s="79">
        <v>124930</v>
      </c>
      <c r="C67" s="78" t="str">
        <f>VLOOKUP(B67, Terminales!$A$1:$B$15, 2, FALSE)</f>
        <v>TIENDA MAGDALENA AV. JOSE GALVEZ N°695</v>
      </c>
      <c r="D67" s="79" t="str">
        <f>VLOOKUP(C67, Terminales!$B$1:$C$15, 2, FALSE)</f>
        <v>MILAGROS URBANO</v>
      </c>
      <c r="E67" s="79" t="s">
        <v>36</v>
      </c>
      <c r="F67" s="80">
        <v>46203</v>
      </c>
      <c r="G67" s="79" t="s">
        <v>38</v>
      </c>
      <c r="H67" s="79">
        <v>450</v>
      </c>
      <c r="I67" s="79" t="s">
        <v>209</v>
      </c>
      <c r="J67" s="79" t="s">
        <v>210</v>
      </c>
      <c r="K67" s="81">
        <v>1786400991126</v>
      </c>
      <c r="L67" s="79" t="s">
        <v>82</v>
      </c>
      <c r="M67" s="79"/>
    </row>
    <row r="68" spans="1:13" s="78" customFormat="1" x14ac:dyDescent="0.3">
      <c r="A68" s="78">
        <v>67</v>
      </c>
      <c r="B68" s="79">
        <v>124968</v>
      </c>
      <c r="C68" s="78" t="str">
        <f>VLOOKUP(B68, Terminales!$A$1:$B$21, 2, FALSE)</f>
        <v>TIENDA MASS LA MARINA</v>
      </c>
      <c r="D68" s="79" t="e">
        <f>VLOOKUP(C68, Terminales!$B$1:$C$15, 2, FALSE)</f>
        <v>#N/A</v>
      </c>
      <c r="E68" s="79" t="s">
        <v>66</v>
      </c>
      <c r="F68" s="80">
        <v>46242</v>
      </c>
      <c r="G68" s="79" t="s">
        <v>28</v>
      </c>
      <c r="H68" s="79">
        <v>100</v>
      </c>
      <c r="I68" s="79" t="s">
        <v>216</v>
      </c>
      <c r="J68" s="79" t="s">
        <v>215</v>
      </c>
      <c r="K68" s="81">
        <v>1786981795106</v>
      </c>
      <c r="L68" s="79" t="s">
        <v>82</v>
      </c>
      <c r="M68" s="79"/>
    </row>
    <row r="69" spans="1:13" x14ac:dyDescent="0.3">
      <c r="A69">
        <v>68</v>
      </c>
      <c r="B69" s="2">
        <v>124930</v>
      </c>
      <c r="C69" t="str">
        <f>VLOOKUP(B69, Terminales!$A$1:$B$21, 2, FALSE)</f>
        <v>TIENDA MAGDALENA AV. JOSE GALVEZ N°695</v>
      </c>
      <c r="D69" s="2" t="str">
        <f>VLOOKUP(C69, Terminales!$B$1:$C$15, 2, FALSE)</f>
        <v>MILAGROS URBANO</v>
      </c>
      <c r="E69" s="2" t="s">
        <v>39</v>
      </c>
      <c r="F69" s="4">
        <v>46276</v>
      </c>
      <c r="G69" s="2" t="s">
        <v>73</v>
      </c>
      <c r="H69" s="2">
        <v>450</v>
      </c>
      <c r="I69" s="2" t="s">
        <v>218</v>
      </c>
      <c r="J69" s="2" t="s">
        <v>217</v>
      </c>
      <c r="K69" s="6" t="s">
        <v>219</v>
      </c>
      <c r="L69" s="2" t="s">
        <v>93</v>
      </c>
      <c r="M69" s="2"/>
    </row>
    <row r="70" spans="1:13" x14ac:dyDescent="0.3">
      <c r="A70">
        <v>69</v>
      </c>
      <c r="B70" s="2">
        <v>124930</v>
      </c>
      <c r="C70" t="str">
        <f>VLOOKUP(B70, Terminales!$A$1:$B$21, 2, FALSE)</f>
        <v>TIENDA MAGDALENA AV. JOSE GALVEZ N°695</v>
      </c>
      <c r="D70" s="2" t="str">
        <f>VLOOKUP(C70, Terminales!$B$1:$C$15, 2, FALSE)</f>
        <v>MILAGROS URBANO</v>
      </c>
      <c r="E70" s="2" t="s">
        <v>39</v>
      </c>
      <c r="F70" s="4">
        <v>46277</v>
      </c>
      <c r="G70" s="2" t="s">
        <v>38</v>
      </c>
      <c r="H70" s="2">
        <v>100</v>
      </c>
      <c r="I70" s="2" t="s">
        <v>119</v>
      </c>
      <c r="J70" s="2" t="s">
        <v>220</v>
      </c>
      <c r="K70" s="6" t="s">
        <v>221</v>
      </c>
      <c r="L70" s="2" t="s">
        <v>82</v>
      </c>
      <c r="M70" s="2"/>
    </row>
    <row r="71" spans="1:13" x14ac:dyDescent="0.3">
      <c r="A71">
        <v>70</v>
      </c>
      <c r="C71" t="e">
        <f>VLOOKUP(B71, Terminales!$A$1:$B$21, 2, FALSE)</f>
        <v>#N/A</v>
      </c>
      <c r="D71" s="2" t="e">
        <f>VLOOKUP(C71, Terminales!$B$1:$C$15, 2, FALSE)</f>
        <v>#N/A</v>
      </c>
      <c r="M71" s="2"/>
    </row>
    <row r="72" spans="1:13" x14ac:dyDescent="0.3">
      <c r="A72">
        <v>71</v>
      </c>
      <c r="C72" t="e">
        <f>VLOOKUP(B72, Terminales!$A$1:$B$21, 2, FALSE)</f>
        <v>#N/A</v>
      </c>
      <c r="D72" s="2" t="e">
        <f>VLOOKUP(C72, Terminales!$B$1:$C$15, 2, FALSE)</f>
        <v>#N/A</v>
      </c>
      <c r="M72" s="2"/>
    </row>
    <row r="73" spans="1:13" x14ac:dyDescent="0.3">
      <c r="A73">
        <v>72</v>
      </c>
      <c r="C73" t="e">
        <f>VLOOKUP(B73, Terminales!$A$1:$B$21, 2, FALSE)</f>
        <v>#N/A</v>
      </c>
      <c r="D73" s="2" t="e">
        <f>VLOOKUP(C73, Terminales!$B$1:$C$15, 2, FALSE)</f>
        <v>#N/A</v>
      </c>
      <c r="M73" s="2"/>
    </row>
    <row r="74" spans="1:13" x14ac:dyDescent="0.3">
      <c r="C74" t="e">
        <f>VLOOKUP(B74, Terminales!$A$1:$B$21, 2, FALSE)</f>
        <v>#N/A</v>
      </c>
      <c r="D74" s="2" t="e">
        <f>VLOOKUP(C74, Terminales!$B$1:$C$15, 2, FALSE)</f>
        <v>#N/A</v>
      </c>
      <c r="M74" s="2"/>
    </row>
    <row r="75" spans="1:13" x14ac:dyDescent="0.3">
      <c r="C75" t="e">
        <f>VLOOKUP(B75, Terminales!$A$1:$B$15, 2, FALSE)</f>
        <v>#N/A</v>
      </c>
      <c r="D75" s="2" t="e">
        <f>VLOOKUP(C75, Terminales!$B$1:$C$15, 2, FALSE)</f>
        <v>#N/A</v>
      </c>
      <c r="M75" s="2"/>
    </row>
    <row r="76" spans="1:13" x14ac:dyDescent="0.3">
      <c r="C76" t="e">
        <f>VLOOKUP(B76, Terminales!$A$1:$B$15, 2, FALSE)</f>
        <v>#N/A</v>
      </c>
      <c r="D76" s="2" t="e">
        <f>VLOOKUP(C76, Terminales!$B$1:$C$15, 2, FALSE)</f>
        <v>#N/A</v>
      </c>
      <c r="M76" s="2"/>
    </row>
    <row r="77" spans="1:13" x14ac:dyDescent="0.3">
      <c r="C77" t="e">
        <f>VLOOKUP(B77, Terminales!$A$1:$B$15, 2, FALSE)</f>
        <v>#N/A</v>
      </c>
      <c r="D77" s="2" t="e">
        <f>VLOOKUP(C77, Terminales!$B$1:$C$15, 2, FALSE)</f>
        <v>#N/A</v>
      </c>
      <c r="M77" s="2"/>
    </row>
    <row r="78" spans="1:13" x14ac:dyDescent="0.3">
      <c r="C78" t="e">
        <f>VLOOKUP(B78, Terminales!$A$1:$B$15, 2, FALSE)</f>
        <v>#N/A</v>
      </c>
      <c r="D78" s="2" t="e">
        <f>VLOOKUP(C78, Terminales!$B$1:$C$15, 2, FALSE)</f>
        <v>#N/A</v>
      </c>
      <c r="M78" s="2"/>
    </row>
    <row r="79" spans="1:13" x14ac:dyDescent="0.3">
      <c r="C79" t="e">
        <f>VLOOKUP(B79, Terminales!$A$1:$B$15, 2, FALSE)</f>
        <v>#N/A</v>
      </c>
      <c r="D79" s="2" t="e">
        <f>VLOOKUP(C79, Terminales!$B$1:$C$15, 2, FALSE)</f>
        <v>#N/A</v>
      </c>
      <c r="M79" s="2"/>
    </row>
    <row r="80" spans="1:13" x14ac:dyDescent="0.3">
      <c r="C80" t="e">
        <f>VLOOKUP(B80, Terminales!$A$1:$B$15, 2, FALSE)</f>
        <v>#N/A</v>
      </c>
      <c r="D80" s="2" t="e">
        <f>VLOOKUP(C80, Terminales!$B$1:$C$15, 2, FALSE)</f>
        <v>#N/A</v>
      </c>
      <c r="M80" s="2"/>
    </row>
    <row r="81" spans="3:13" x14ac:dyDescent="0.3">
      <c r="C81" t="e">
        <f>VLOOKUP(B81, Terminales!$A$1:$B$15, 2, FALSE)</f>
        <v>#N/A</v>
      </c>
      <c r="D81" s="2" t="e">
        <f>VLOOKUP(C81, Terminales!$B$1:$C$15, 2, FALSE)</f>
        <v>#N/A</v>
      </c>
      <c r="M81" s="2"/>
    </row>
    <row r="82" spans="3:13" x14ac:dyDescent="0.3">
      <c r="C82" t="e">
        <f>VLOOKUP(B82, Terminales!$A$1:$B$15, 2, FALSE)</f>
        <v>#N/A</v>
      </c>
      <c r="D82" s="2" t="e">
        <f>VLOOKUP(C82, Terminales!$B$1:$C$15, 2, FALSE)</f>
        <v>#N/A</v>
      </c>
      <c r="M82" s="2"/>
    </row>
    <row r="83" spans="3:13" x14ac:dyDescent="0.3">
      <c r="C83" t="e">
        <f>VLOOKUP(B83, Terminales!$A$1:$B$15, 2, FALSE)</f>
        <v>#N/A</v>
      </c>
      <c r="D83" s="2" t="e">
        <f>VLOOKUP(C83, Terminales!$B$1:$C$15, 2, FALSE)</f>
        <v>#N/A</v>
      </c>
      <c r="M83" s="2"/>
    </row>
    <row r="84" spans="3:13" x14ac:dyDescent="0.3">
      <c r="C84" t="e">
        <f>VLOOKUP(B84, Terminales!$A$1:$B$15, 2, FALSE)</f>
        <v>#N/A</v>
      </c>
      <c r="D84" s="2" t="e">
        <f>VLOOKUP(C84, Terminales!$B$1:$C$15, 2, FALSE)</f>
        <v>#N/A</v>
      </c>
      <c r="M84" s="2"/>
    </row>
    <row r="85" spans="3:13" x14ac:dyDescent="0.3">
      <c r="C85" t="e">
        <f>VLOOKUP(B85, Terminales!$A$1:$B$15, 2, FALSE)</f>
        <v>#N/A</v>
      </c>
      <c r="D85" s="2" t="e">
        <f>VLOOKUP(C85, Terminales!$B$1:$C$15, 2, FALSE)</f>
        <v>#N/A</v>
      </c>
      <c r="M85" s="2"/>
    </row>
    <row r="86" spans="3:13" x14ac:dyDescent="0.3">
      <c r="C86" t="e">
        <f>VLOOKUP(B86, Terminales!$A$1:$B$15, 2, FALSE)</f>
        <v>#N/A</v>
      </c>
      <c r="D86" s="2" t="e">
        <f>VLOOKUP(C86, Terminales!$B$1:$C$15, 2, FALSE)</f>
        <v>#N/A</v>
      </c>
      <c r="M86" s="2"/>
    </row>
    <row r="87" spans="3:13" x14ac:dyDescent="0.3">
      <c r="C87" t="e">
        <f>VLOOKUP(B87, Terminales!$A$1:$B$15, 2, FALSE)</f>
        <v>#N/A</v>
      </c>
      <c r="D87" s="2" t="e">
        <f>VLOOKUP(C87, Terminales!$B$1:$C$15, 2, FALSE)</f>
        <v>#N/A</v>
      </c>
      <c r="M87" s="2"/>
    </row>
    <row r="88" spans="3:13" x14ac:dyDescent="0.3">
      <c r="C88" t="e">
        <f>VLOOKUP(B88, Terminales!$A$1:$B$15, 2, FALSE)</f>
        <v>#N/A</v>
      </c>
      <c r="D88" s="2" t="e">
        <f>VLOOKUP(C88, Terminales!$B$1:$C$15, 2, FALSE)</f>
        <v>#N/A</v>
      </c>
      <c r="M88" s="2"/>
    </row>
    <row r="89" spans="3:13" x14ac:dyDescent="0.3">
      <c r="C89" t="e">
        <f>VLOOKUP(B89, Terminales!$A$1:$B$15, 2, FALSE)</f>
        <v>#N/A</v>
      </c>
      <c r="D89" s="2" t="e">
        <f>VLOOKUP(C89, Terminales!$B$1:$C$15, 2, FALSE)</f>
        <v>#N/A</v>
      </c>
      <c r="M89" s="2"/>
    </row>
    <row r="90" spans="3:13" x14ac:dyDescent="0.3">
      <c r="C90" t="e">
        <f>VLOOKUP(B90, Terminales!$A$1:$B$15, 2, FALSE)</f>
        <v>#N/A</v>
      </c>
      <c r="D90" s="2" t="e">
        <f>VLOOKUP(C90, Terminales!$B$1:$C$15, 2, FALSE)</f>
        <v>#N/A</v>
      </c>
      <c r="M90" s="2"/>
    </row>
    <row r="91" spans="3:13" x14ac:dyDescent="0.3">
      <c r="C91" t="e">
        <f>VLOOKUP(B91, Terminales!$A$1:$B$15, 2, FALSE)</f>
        <v>#N/A</v>
      </c>
      <c r="D91" s="2" t="e">
        <f>VLOOKUP(C91, Terminales!$B$1:$C$15, 2, FALSE)</f>
        <v>#N/A</v>
      </c>
      <c r="M91" s="2"/>
    </row>
    <row r="92" spans="3:13" x14ac:dyDescent="0.3">
      <c r="C92" t="e">
        <f>VLOOKUP(B92, Terminales!$A$1:$B$15, 2, FALSE)</f>
        <v>#N/A</v>
      </c>
      <c r="D92" s="2" t="e">
        <f>VLOOKUP(C92, Terminales!$B$1:$C$15, 2, FALSE)</f>
        <v>#N/A</v>
      </c>
      <c r="M92" s="2"/>
    </row>
    <row r="93" spans="3:13" x14ac:dyDescent="0.3">
      <c r="C93" t="e">
        <f>VLOOKUP(B93, Terminales!$A$1:$B$15, 2, FALSE)</f>
        <v>#N/A</v>
      </c>
      <c r="D93" s="2" t="e">
        <f>VLOOKUP(C93, Terminales!$B$1:$C$15, 2, FALSE)</f>
        <v>#N/A</v>
      </c>
      <c r="M93" s="2"/>
    </row>
    <row r="94" spans="3:13" x14ac:dyDescent="0.3">
      <c r="C94" t="e">
        <f>VLOOKUP(B94, Terminales!$A$1:$B$15, 2, FALSE)</f>
        <v>#N/A</v>
      </c>
      <c r="D94" s="2" t="e">
        <f>VLOOKUP(C94, Terminales!$B$1:$C$15, 2, FALSE)</f>
        <v>#N/A</v>
      </c>
      <c r="M94" s="2"/>
    </row>
    <row r="95" spans="3:13" x14ac:dyDescent="0.3">
      <c r="C95" t="e">
        <f>VLOOKUP(B95, Terminales!$A$1:$B$15, 2, FALSE)</f>
        <v>#N/A</v>
      </c>
      <c r="D95" s="2" t="e">
        <f>VLOOKUP(C95, Terminales!$B$1:$C$15, 2, FALSE)</f>
        <v>#N/A</v>
      </c>
      <c r="M95" s="2"/>
    </row>
    <row r="96" spans="3:13" x14ac:dyDescent="0.3">
      <c r="C96" t="e">
        <f>VLOOKUP(B96, Terminales!$A$1:$B$15, 2, FALSE)</f>
        <v>#N/A</v>
      </c>
      <c r="D96" s="2" t="e">
        <f>VLOOKUP(C96, Terminales!$B$1:$C$15, 2, FALSE)</f>
        <v>#N/A</v>
      </c>
      <c r="M96" s="2"/>
    </row>
    <row r="97" spans="3:13" x14ac:dyDescent="0.3">
      <c r="C97" t="e">
        <f>VLOOKUP(B97, Terminales!$A$1:$B$15, 2, FALSE)</f>
        <v>#N/A</v>
      </c>
      <c r="D97" s="2" t="e">
        <f>VLOOKUP(C97, Terminales!$B$1:$C$15, 2, FALSE)</f>
        <v>#N/A</v>
      </c>
      <c r="M97" s="2"/>
    </row>
    <row r="98" spans="3:13" x14ac:dyDescent="0.3">
      <c r="C98" t="e">
        <f>VLOOKUP(B98, Terminales!$A$1:$B$15, 2, FALSE)</f>
        <v>#N/A</v>
      </c>
      <c r="D98" s="2" t="e">
        <f>VLOOKUP(C98, Terminales!$B$1:$C$15, 2, FALSE)</f>
        <v>#N/A</v>
      </c>
      <c r="M98" s="2"/>
    </row>
    <row r="99" spans="3:13" x14ac:dyDescent="0.3">
      <c r="C99" t="e">
        <f>VLOOKUP(B99, Terminales!$A$1:$B$15, 2, FALSE)</f>
        <v>#N/A</v>
      </c>
      <c r="D99" s="2" t="e">
        <f>VLOOKUP(C99, Terminales!$B$1:$C$15, 2, FALSE)</f>
        <v>#N/A</v>
      </c>
      <c r="M99" s="2"/>
    </row>
    <row r="100" spans="3:13" x14ac:dyDescent="0.3">
      <c r="C100" t="e">
        <f>VLOOKUP(B100, Terminales!$A$1:$B$15, 2, FALSE)</f>
        <v>#N/A</v>
      </c>
      <c r="D100" s="2" t="e">
        <f>VLOOKUP(C100, Terminales!$B$1:$C$15, 2, FALSE)</f>
        <v>#N/A</v>
      </c>
      <c r="M100" s="2"/>
    </row>
    <row r="101" spans="3:13" x14ac:dyDescent="0.3">
      <c r="C101" t="e">
        <f>VLOOKUP(B101, Terminales!$A$1:$B$15, 2, FALSE)</f>
        <v>#N/A</v>
      </c>
      <c r="D101" s="2" t="e">
        <f>VLOOKUP(C101, Terminales!$B$1:$C$15, 2, FALSE)</f>
        <v>#N/A</v>
      </c>
      <c r="M101" s="2"/>
    </row>
    <row r="102" spans="3:13" x14ac:dyDescent="0.3">
      <c r="C102" t="e">
        <f>VLOOKUP(B102, Terminales!$A$1:$B$15, 2, FALSE)</f>
        <v>#N/A</v>
      </c>
      <c r="D102" s="2" t="e">
        <f>VLOOKUP(C102, Terminales!$B$1:$C$15, 2, FALSE)</f>
        <v>#N/A</v>
      </c>
      <c r="M102" s="2"/>
    </row>
    <row r="103" spans="3:13" x14ac:dyDescent="0.3">
      <c r="C103" t="e">
        <f>VLOOKUP(B103, Terminales!$A$1:$B$15, 2, FALSE)</f>
        <v>#N/A</v>
      </c>
      <c r="D103" s="2" t="e">
        <f>VLOOKUP(C103, Terminales!$B$1:$C$15, 2, FALSE)</f>
        <v>#N/A</v>
      </c>
      <c r="M103" s="2"/>
    </row>
    <row r="104" spans="3:13" x14ac:dyDescent="0.3">
      <c r="C104" t="e">
        <f>VLOOKUP(B104, Terminales!$A$1:$B$15, 2, FALSE)</f>
        <v>#N/A</v>
      </c>
      <c r="D104" s="2" t="e">
        <f>VLOOKUP(C104, Terminales!$B$1:$C$15, 2, FALSE)</f>
        <v>#N/A</v>
      </c>
      <c r="M104" s="2"/>
    </row>
    <row r="105" spans="3:13" x14ac:dyDescent="0.3">
      <c r="C105" t="e">
        <f>VLOOKUP(B105, Terminales!$A$1:$B$15, 2, FALSE)</f>
        <v>#N/A</v>
      </c>
      <c r="D105" s="2" t="e">
        <f>VLOOKUP(C105, Terminales!$B$1:$C$15, 2, FALSE)</f>
        <v>#N/A</v>
      </c>
      <c r="M105" s="2"/>
    </row>
    <row r="106" spans="3:13" x14ac:dyDescent="0.3">
      <c r="C106" t="e">
        <f>VLOOKUP(B106, Terminales!$A$1:$B$15, 2, FALSE)</f>
        <v>#N/A</v>
      </c>
      <c r="D106" s="2" t="e">
        <f>VLOOKUP(C106, Terminales!$B$1:$C$15, 2, FALSE)</f>
        <v>#N/A</v>
      </c>
      <c r="M106" s="2"/>
    </row>
    <row r="107" spans="3:13" x14ac:dyDescent="0.3">
      <c r="C107" t="e">
        <f>VLOOKUP(B107, Terminales!$A$1:$B$15, 2, FALSE)</f>
        <v>#N/A</v>
      </c>
      <c r="D107" s="2" t="e">
        <f>VLOOKUP(C107, Terminales!$B$1:$C$15, 2, FALSE)</f>
        <v>#N/A</v>
      </c>
      <c r="M107" s="2"/>
    </row>
    <row r="108" spans="3:13" x14ac:dyDescent="0.3">
      <c r="C108" t="e">
        <f>VLOOKUP(B108, Terminales!$A$1:$B$15, 2, FALSE)</f>
        <v>#N/A</v>
      </c>
      <c r="D108" s="2" t="e">
        <f>VLOOKUP(C108, Terminales!$B$1:$C$15, 2, FALSE)</f>
        <v>#N/A</v>
      </c>
      <c r="M108" s="2"/>
    </row>
    <row r="109" spans="3:13" x14ac:dyDescent="0.3">
      <c r="C109" t="e">
        <f>VLOOKUP(B109, Terminales!$A$1:$B$15, 2, FALSE)</f>
        <v>#N/A</v>
      </c>
      <c r="D109" s="2" t="e">
        <f>VLOOKUP(C109, Terminales!$B$1:$C$15, 2, FALSE)</f>
        <v>#N/A</v>
      </c>
      <c r="M109" s="2"/>
    </row>
    <row r="110" spans="3:13" x14ac:dyDescent="0.3">
      <c r="C110" t="e">
        <f>VLOOKUP(B110, Terminales!$A$1:$B$15, 2, FALSE)</f>
        <v>#N/A</v>
      </c>
      <c r="D110" s="2" t="e">
        <f>VLOOKUP(C110, Terminales!$B$1:$C$15, 2, FALSE)</f>
        <v>#N/A</v>
      </c>
      <c r="M110" s="2"/>
    </row>
    <row r="111" spans="3:13" x14ac:dyDescent="0.3">
      <c r="C111" t="e">
        <f>VLOOKUP(B111, Terminales!$A$1:$B$15, 2, FALSE)</f>
        <v>#N/A</v>
      </c>
      <c r="D111" s="2" t="e">
        <f>VLOOKUP(C111, Terminales!$B$1:$C$15, 2, FALSE)</f>
        <v>#N/A</v>
      </c>
      <c r="M111" s="2"/>
    </row>
    <row r="112" spans="3:13" x14ac:dyDescent="0.3">
      <c r="C112" t="e">
        <f>VLOOKUP(B112, Terminales!$A$1:$B$15, 2, FALSE)</f>
        <v>#N/A</v>
      </c>
      <c r="D112" s="2" t="e">
        <f>VLOOKUP(C112, Terminales!$B$1:$C$15, 2, FALSE)</f>
        <v>#N/A</v>
      </c>
      <c r="M112" s="2"/>
    </row>
    <row r="113" spans="3:13" x14ac:dyDescent="0.3">
      <c r="C113" t="e">
        <f>VLOOKUP(B113, Terminales!$A$1:$B$15, 2, FALSE)</f>
        <v>#N/A</v>
      </c>
      <c r="D113" s="2" t="e">
        <f>VLOOKUP(C113, Terminales!$B$1:$C$15, 2, FALSE)</f>
        <v>#N/A</v>
      </c>
      <c r="M113" s="2"/>
    </row>
    <row r="114" spans="3:13" x14ac:dyDescent="0.3">
      <c r="C114" t="e">
        <f>VLOOKUP(B114, Terminales!$A$1:$B$15, 2, FALSE)</f>
        <v>#N/A</v>
      </c>
      <c r="D114" s="2" t="e">
        <f>VLOOKUP(C114, Terminales!$B$1:$C$15, 2, FALSE)</f>
        <v>#N/A</v>
      </c>
      <c r="M114" s="2"/>
    </row>
    <row r="115" spans="3:13" x14ac:dyDescent="0.3">
      <c r="C115" t="e">
        <f>VLOOKUP(B115, Terminales!$A$1:$B$15, 2, FALSE)</f>
        <v>#N/A</v>
      </c>
      <c r="D115" s="2" t="e">
        <f>VLOOKUP(C115, Terminales!$B$1:$C$15, 2, FALSE)</f>
        <v>#N/A</v>
      </c>
      <c r="M115" s="2"/>
    </row>
    <row r="116" spans="3:13" x14ac:dyDescent="0.3">
      <c r="C116" t="e">
        <f>VLOOKUP(B116, Terminales!$A$1:$B$15, 2, FALSE)</f>
        <v>#N/A</v>
      </c>
      <c r="D116" s="2" t="e">
        <f>VLOOKUP(C116, Terminales!$B$1:$C$15, 2, FALSE)</f>
        <v>#N/A</v>
      </c>
      <c r="M116" s="2"/>
    </row>
    <row r="117" spans="3:13" x14ac:dyDescent="0.3">
      <c r="C117" t="e">
        <f>VLOOKUP(B117, Terminales!$A$1:$B$15, 2, FALSE)</f>
        <v>#N/A</v>
      </c>
      <c r="D117" s="2" t="e">
        <f>VLOOKUP(C117, Terminales!$B$1:$C$15, 2, FALSE)</f>
        <v>#N/A</v>
      </c>
      <c r="M117" s="2"/>
    </row>
    <row r="118" spans="3:13" x14ac:dyDescent="0.3">
      <c r="C118" t="e">
        <f>VLOOKUP(B118, Terminales!$A$1:$B$15, 2, FALSE)</f>
        <v>#N/A</v>
      </c>
      <c r="D118" s="2" t="e">
        <f>VLOOKUP(C118, Terminales!$B$1:$C$15, 2, FALSE)</f>
        <v>#N/A</v>
      </c>
      <c r="M118" s="2"/>
    </row>
    <row r="119" spans="3:13" x14ac:dyDescent="0.3">
      <c r="C119" t="e">
        <f>VLOOKUP(B119, Terminales!$A$1:$B$15, 2, FALSE)</f>
        <v>#N/A</v>
      </c>
      <c r="D119" s="2" t="e">
        <f>VLOOKUP(C119, Terminales!$B$1:$C$15, 2, FALSE)</f>
        <v>#N/A</v>
      </c>
      <c r="M119" s="2"/>
    </row>
    <row r="120" spans="3:13" x14ac:dyDescent="0.3">
      <c r="C120" t="e">
        <f>VLOOKUP(B120, Terminales!$A$1:$B$15, 2, FALSE)</f>
        <v>#N/A</v>
      </c>
      <c r="D120" s="2" t="e">
        <f>VLOOKUP(C120, Terminales!$B$1:$C$15, 2, FALSE)</f>
        <v>#N/A</v>
      </c>
      <c r="M120" s="2"/>
    </row>
    <row r="121" spans="3:13" x14ac:dyDescent="0.3">
      <c r="C121" t="e">
        <f>VLOOKUP(B121, Terminales!$A$1:$B$15, 2, FALSE)</f>
        <v>#N/A</v>
      </c>
      <c r="D121" s="2" t="e">
        <f>VLOOKUP(C121, Terminales!$B$1:$C$15, 2, FALSE)</f>
        <v>#N/A</v>
      </c>
      <c r="M121" s="2"/>
    </row>
    <row r="122" spans="3:13" x14ac:dyDescent="0.3">
      <c r="C122" t="e">
        <f>VLOOKUP(B122, Terminales!$A$1:$B$15, 2, FALSE)</f>
        <v>#N/A</v>
      </c>
      <c r="D122" s="2" t="e">
        <f>VLOOKUP(C122, Terminales!$B$1:$C$15, 2, FALSE)</f>
        <v>#N/A</v>
      </c>
      <c r="M122" s="2"/>
    </row>
    <row r="123" spans="3:13" x14ac:dyDescent="0.3">
      <c r="C123" t="e">
        <f>VLOOKUP(B123, Terminales!$A$1:$B$15, 2, FALSE)</f>
        <v>#N/A</v>
      </c>
      <c r="D123" s="2" t="e">
        <f>VLOOKUP(C123, Terminales!$B$1:$C$15, 2, FALSE)</f>
        <v>#N/A</v>
      </c>
      <c r="M123" s="2"/>
    </row>
    <row r="124" spans="3:13" x14ac:dyDescent="0.3">
      <c r="C124" t="e">
        <f>VLOOKUP(B124, Terminales!$A$1:$B$15, 2, FALSE)</f>
        <v>#N/A</v>
      </c>
      <c r="D124" s="2" t="e">
        <f>VLOOKUP(C124, Terminales!$B$1:$C$15, 2, FALSE)</f>
        <v>#N/A</v>
      </c>
      <c r="M124" s="2"/>
    </row>
    <row r="125" spans="3:13" x14ac:dyDescent="0.3">
      <c r="C125" t="e">
        <f>VLOOKUP(B125, Terminales!$A$1:$B$15, 2, FALSE)</f>
        <v>#N/A</v>
      </c>
      <c r="D125" s="2" t="e">
        <f>VLOOKUP(C125, Terminales!$B$1:$C$15, 2, FALSE)</f>
        <v>#N/A</v>
      </c>
      <c r="M125" s="2"/>
    </row>
    <row r="126" spans="3:13" x14ac:dyDescent="0.3">
      <c r="C126" t="e">
        <f>VLOOKUP(B126, Terminales!$A$1:$B$15, 2, FALSE)</f>
        <v>#N/A</v>
      </c>
      <c r="D126" s="2" t="e">
        <f>VLOOKUP(C126, Terminales!$B$1:$C$15, 2, FALSE)</f>
        <v>#N/A</v>
      </c>
      <c r="M126" s="2"/>
    </row>
    <row r="127" spans="3:13" x14ac:dyDescent="0.3">
      <c r="C127" t="e">
        <f>VLOOKUP(B127, Terminales!$A$1:$B$15, 2, FALSE)</f>
        <v>#N/A</v>
      </c>
      <c r="D127" s="2" t="e">
        <f>VLOOKUP(C127, Terminales!$B$1:$C$15, 2, FALSE)</f>
        <v>#N/A</v>
      </c>
      <c r="M127" s="2"/>
    </row>
    <row r="128" spans="3:13" x14ac:dyDescent="0.3">
      <c r="C128" t="e">
        <f>VLOOKUP(B128, Terminales!$A$1:$B$15, 2, FALSE)</f>
        <v>#N/A</v>
      </c>
      <c r="D128" s="2" t="e">
        <f>VLOOKUP(C128, Terminales!$B$1:$C$15, 2, FALSE)</f>
        <v>#N/A</v>
      </c>
      <c r="M128" s="2"/>
    </row>
    <row r="129" spans="3:13" x14ac:dyDescent="0.3">
      <c r="C129" t="e">
        <f>VLOOKUP(B129, Terminales!$A$1:$B$15, 2, FALSE)</f>
        <v>#N/A</v>
      </c>
      <c r="D129" s="2" t="e">
        <f>VLOOKUP(C129, Terminales!$B$1:$C$15, 2, FALSE)</f>
        <v>#N/A</v>
      </c>
      <c r="M129" s="2"/>
    </row>
    <row r="130" spans="3:13" x14ac:dyDescent="0.3">
      <c r="C130" t="e">
        <f>VLOOKUP(B130, Terminales!$A$1:$B$15, 2, FALSE)</f>
        <v>#N/A</v>
      </c>
      <c r="D130" s="2" t="e">
        <f>VLOOKUP(C130, Terminales!$B$1:$C$15, 2, FALSE)</f>
        <v>#N/A</v>
      </c>
      <c r="M130" s="2"/>
    </row>
    <row r="131" spans="3:13" x14ac:dyDescent="0.3">
      <c r="C131" t="e">
        <f>VLOOKUP(B131, Terminales!$A$1:$B$15, 2, FALSE)</f>
        <v>#N/A</v>
      </c>
      <c r="D131" s="2" t="e">
        <f>VLOOKUP(C131, Terminales!$B$1:$C$15, 2, FALSE)</f>
        <v>#N/A</v>
      </c>
      <c r="M131" s="2"/>
    </row>
    <row r="132" spans="3:13" x14ac:dyDescent="0.3">
      <c r="C132" t="e">
        <f>VLOOKUP(B132, Terminales!$A$1:$B$15, 2, FALSE)</f>
        <v>#N/A</v>
      </c>
      <c r="D132" s="2" t="e">
        <f>VLOOKUP(C132, Terminales!$B$1:$C$15, 2, FALSE)</f>
        <v>#N/A</v>
      </c>
      <c r="M132" s="2"/>
    </row>
    <row r="133" spans="3:13" x14ac:dyDescent="0.3">
      <c r="C133" t="e">
        <f>VLOOKUP(B133, Terminales!$A$1:$B$15, 2, FALSE)</f>
        <v>#N/A</v>
      </c>
      <c r="D133" s="2" t="e">
        <f>VLOOKUP(C133, Terminales!$B$1:$C$15, 2, FALSE)</f>
        <v>#N/A</v>
      </c>
      <c r="M133" s="2"/>
    </row>
    <row r="134" spans="3:13" x14ac:dyDescent="0.3">
      <c r="C134" t="e">
        <f>VLOOKUP(B134, Terminales!$A$1:$B$15, 2, FALSE)</f>
        <v>#N/A</v>
      </c>
      <c r="D134" s="2" t="e">
        <f>VLOOKUP(C134, Terminales!$B$1:$C$15, 2, FALSE)</f>
        <v>#N/A</v>
      </c>
      <c r="M134" s="2"/>
    </row>
    <row r="135" spans="3:13" x14ac:dyDescent="0.3">
      <c r="C135" t="e">
        <f>VLOOKUP(B135, Terminales!$A$1:$B$15, 2, FALSE)</f>
        <v>#N/A</v>
      </c>
      <c r="D135" s="2" t="e">
        <f>VLOOKUP(C135, Terminales!$B$1:$C$15, 2, FALSE)</f>
        <v>#N/A</v>
      </c>
      <c r="M135" s="2"/>
    </row>
    <row r="136" spans="3:13" x14ac:dyDescent="0.3">
      <c r="C136" t="e">
        <f>VLOOKUP(B136, Terminales!$A$1:$B$15, 2, FALSE)</f>
        <v>#N/A</v>
      </c>
      <c r="D136" s="2" t="e">
        <f>VLOOKUP(C136, Terminales!$B$1:$C$15, 2, FALSE)</f>
        <v>#N/A</v>
      </c>
      <c r="M136" s="2"/>
    </row>
    <row r="137" spans="3:13" x14ac:dyDescent="0.3">
      <c r="C137" t="e">
        <f>VLOOKUP(B137, Terminales!$A$1:$B$15, 2, FALSE)</f>
        <v>#N/A</v>
      </c>
      <c r="D137" s="2" t="e">
        <f>VLOOKUP(C137, Terminales!$B$1:$C$15, 2, FALSE)</f>
        <v>#N/A</v>
      </c>
      <c r="M137" s="2"/>
    </row>
    <row r="138" spans="3:13" x14ac:dyDescent="0.3">
      <c r="C138" t="e">
        <f>VLOOKUP(B138, Terminales!$A$1:$B$15, 2, FALSE)</f>
        <v>#N/A</v>
      </c>
      <c r="D138" s="2" t="e">
        <f>VLOOKUP(C138, Terminales!$B$1:$C$15, 2, FALSE)</f>
        <v>#N/A</v>
      </c>
      <c r="M138" s="2"/>
    </row>
    <row r="139" spans="3:13" x14ac:dyDescent="0.3">
      <c r="C139" t="e">
        <f>VLOOKUP(B139, Terminales!$A$1:$B$15, 2, FALSE)</f>
        <v>#N/A</v>
      </c>
      <c r="D139" s="2" t="e">
        <f>VLOOKUP(C139, Terminales!$B$1:$C$15, 2, FALSE)</f>
        <v>#N/A</v>
      </c>
      <c r="M139" s="2"/>
    </row>
    <row r="140" spans="3:13" x14ac:dyDescent="0.3">
      <c r="C140" t="e">
        <f>VLOOKUP(B140, Terminales!$A$1:$B$15, 2, FALSE)</f>
        <v>#N/A</v>
      </c>
      <c r="D140" s="2" t="e">
        <f>VLOOKUP(C140, Terminales!$B$1:$C$15, 2, FALSE)</f>
        <v>#N/A</v>
      </c>
      <c r="M140" s="2"/>
    </row>
    <row r="141" spans="3:13" x14ac:dyDescent="0.3">
      <c r="C141" t="e">
        <f>VLOOKUP(B141, Terminales!$A$1:$B$15, 2, FALSE)</f>
        <v>#N/A</v>
      </c>
      <c r="D141" s="2" t="e">
        <f>VLOOKUP(C141, Terminales!$B$1:$C$15, 2, FALSE)</f>
        <v>#N/A</v>
      </c>
      <c r="M141" s="2"/>
    </row>
    <row r="142" spans="3:13" x14ac:dyDescent="0.3">
      <c r="C142" t="e">
        <f>VLOOKUP(B142, Terminales!$A$1:$B$15, 2, FALSE)</f>
        <v>#N/A</v>
      </c>
      <c r="D142" s="2" t="e">
        <f>VLOOKUP(C142, Terminales!$B$1:$C$15, 2, FALSE)</f>
        <v>#N/A</v>
      </c>
      <c r="M142" s="2"/>
    </row>
    <row r="143" spans="3:13" x14ac:dyDescent="0.3">
      <c r="C143" t="e">
        <f>VLOOKUP(B143, Terminales!$A$1:$B$15, 2, FALSE)</f>
        <v>#N/A</v>
      </c>
      <c r="D143" s="2" t="e">
        <f>VLOOKUP(C143, Terminales!$B$1:$C$15, 2, FALSE)</f>
        <v>#N/A</v>
      </c>
      <c r="M143" s="2"/>
    </row>
    <row r="144" spans="3:13" x14ac:dyDescent="0.3">
      <c r="C144" t="e">
        <f>VLOOKUP(B144, Terminales!$A$1:$B$15, 2, FALSE)</f>
        <v>#N/A</v>
      </c>
      <c r="D144" s="2" t="e">
        <f>VLOOKUP(C144, Terminales!$B$1:$C$15, 2, FALSE)</f>
        <v>#N/A</v>
      </c>
      <c r="M144" s="2"/>
    </row>
    <row r="145" spans="3:13" x14ac:dyDescent="0.3">
      <c r="C145" t="e">
        <f>VLOOKUP(B145, Terminales!$A$1:$B$15, 2, FALSE)</f>
        <v>#N/A</v>
      </c>
      <c r="D145" s="2" t="e">
        <f>VLOOKUP(C145, Terminales!$B$1:$C$15, 2, FALSE)</f>
        <v>#N/A</v>
      </c>
      <c r="M145" s="2"/>
    </row>
    <row r="146" spans="3:13" x14ac:dyDescent="0.3">
      <c r="C146" t="e">
        <f>VLOOKUP(B146, Terminales!$A$1:$B$15, 2, FALSE)</f>
        <v>#N/A</v>
      </c>
      <c r="D146" s="2" t="e">
        <f>VLOOKUP(C146, Terminales!$B$1:$C$15, 2, FALSE)</f>
        <v>#N/A</v>
      </c>
      <c r="M146" s="2"/>
    </row>
    <row r="147" spans="3:13" x14ac:dyDescent="0.3">
      <c r="C147" t="e">
        <f>VLOOKUP(B147, Terminales!$A$1:$B$15, 2, FALSE)</f>
        <v>#N/A</v>
      </c>
      <c r="D147" s="2" t="e">
        <f>VLOOKUP(C147, Terminales!$B$1:$C$15, 2, FALSE)</f>
        <v>#N/A</v>
      </c>
      <c r="M147" s="2"/>
    </row>
    <row r="148" spans="3:13" x14ac:dyDescent="0.3">
      <c r="C148" t="e">
        <f>VLOOKUP(B148, Terminales!$A$1:$B$15, 2, FALSE)</f>
        <v>#N/A</v>
      </c>
      <c r="D148" s="2" t="e">
        <f>VLOOKUP(C148, Terminales!$B$1:$C$15, 2, FALSE)</f>
        <v>#N/A</v>
      </c>
      <c r="M148" s="2"/>
    </row>
    <row r="149" spans="3:13" x14ac:dyDescent="0.3">
      <c r="C149" t="e">
        <f>VLOOKUP(B149, Terminales!$A$1:$B$15, 2, FALSE)</f>
        <v>#N/A</v>
      </c>
      <c r="D149" s="2" t="e">
        <f>VLOOKUP(C149, Terminales!$B$1:$C$15, 2, FALSE)</f>
        <v>#N/A</v>
      </c>
      <c r="M149" s="2"/>
    </row>
    <row r="150" spans="3:13" x14ac:dyDescent="0.3">
      <c r="C150" t="e">
        <f>VLOOKUP(B150, Terminales!$A$1:$B$15, 2, FALSE)</f>
        <v>#N/A</v>
      </c>
      <c r="D150" s="2" t="e">
        <f>VLOOKUP(C150, Terminales!$B$1:$C$15, 2, FALSE)</f>
        <v>#N/A</v>
      </c>
      <c r="M150" s="2"/>
    </row>
    <row r="151" spans="3:13" x14ac:dyDescent="0.3">
      <c r="C151" t="e">
        <f>VLOOKUP(B151, Terminales!$A$1:$B$15, 2, FALSE)</f>
        <v>#N/A</v>
      </c>
      <c r="D151" s="2" t="e">
        <f>VLOOKUP(C151, Terminales!$B$1:$C$15, 2, FALSE)</f>
        <v>#N/A</v>
      </c>
      <c r="M151" s="2"/>
    </row>
    <row r="152" spans="3:13" x14ac:dyDescent="0.3">
      <c r="C152" t="e">
        <f>VLOOKUP(B152, Terminales!$A$1:$B$15, 2, FALSE)</f>
        <v>#N/A</v>
      </c>
      <c r="D152" s="2" t="e">
        <f>VLOOKUP(C152, Terminales!$B$1:$C$15, 2, FALSE)</f>
        <v>#N/A</v>
      </c>
      <c r="M152" s="2"/>
    </row>
    <row r="153" spans="3:13" x14ac:dyDescent="0.3">
      <c r="C153" t="e">
        <f>VLOOKUP(B153, Terminales!$A$1:$B$15, 2, FALSE)</f>
        <v>#N/A</v>
      </c>
      <c r="D153" s="2" t="e">
        <f>VLOOKUP(C153, Terminales!$B$1:$C$15, 2, FALSE)</f>
        <v>#N/A</v>
      </c>
      <c r="M153" s="2"/>
    </row>
    <row r="154" spans="3:13" x14ac:dyDescent="0.3">
      <c r="C154" t="e">
        <f>VLOOKUP(B154, Terminales!$A$1:$B$15, 2, FALSE)</f>
        <v>#N/A</v>
      </c>
      <c r="D154" s="2" t="e">
        <f>VLOOKUP(C154, Terminales!$B$1:$C$15, 2, FALSE)</f>
        <v>#N/A</v>
      </c>
      <c r="M154" s="2"/>
    </row>
    <row r="155" spans="3:13" x14ac:dyDescent="0.3">
      <c r="C155" t="e">
        <f>VLOOKUP(B155, Terminales!$A$1:$B$15, 2, FALSE)</f>
        <v>#N/A</v>
      </c>
      <c r="D155" s="2" t="e">
        <f>VLOOKUP(C155, Terminales!$B$1:$C$15, 2, FALSE)</f>
        <v>#N/A</v>
      </c>
      <c r="M155" s="2"/>
    </row>
    <row r="156" spans="3:13" x14ac:dyDescent="0.3">
      <c r="C156" t="e">
        <f>VLOOKUP(B156, Terminales!$A$1:$B$15, 2, FALSE)</f>
        <v>#N/A</v>
      </c>
      <c r="D156" s="2" t="e">
        <f>VLOOKUP(C156, Terminales!$B$1:$C$15, 2, FALSE)</f>
        <v>#N/A</v>
      </c>
      <c r="M156" s="2"/>
    </row>
    <row r="157" spans="3:13" x14ac:dyDescent="0.3">
      <c r="C157" t="e">
        <f>VLOOKUP(B157, Terminales!$A$1:$B$15, 2, FALSE)</f>
        <v>#N/A</v>
      </c>
      <c r="D157" s="2" t="e">
        <f>VLOOKUP(C157, Terminales!$B$1:$C$15, 2, FALSE)</f>
        <v>#N/A</v>
      </c>
      <c r="M157" s="2"/>
    </row>
    <row r="158" spans="3:13" x14ac:dyDescent="0.3">
      <c r="C158" t="e">
        <f>VLOOKUP(B158, Terminales!$A$1:$B$15, 2, FALSE)</f>
        <v>#N/A</v>
      </c>
      <c r="D158" s="2" t="e">
        <f>VLOOKUP(C158, Terminales!$B$1:$C$15, 2, FALSE)</f>
        <v>#N/A</v>
      </c>
      <c r="M158" s="2"/>
    </row>
    <row r="159" spans="3:13" x14ac:dyDescent="0.3">
      <c r="C159" t="e">
        <f>VLOOKUP(B159, Terminales!$A$1:$B$15, 2, FALSE)</f>
        <v>#N/A</v>
      </c>
      <c r="D159" s="2" t="e">
        <f>VLOOKUP(C159, Terminales!$B$1:$C$15, 2, FALSE)</f>
        <v>#N/A</v>
      </c>
      <c r="M159" s="2"/>
    </row>
    <row r="160" spans="3:13" x14ac:dyDescent="0.3">
      <c r="C160" t="e">
        <f>VLOOKUP(B160, Terminales!$A$1:$B$15, 2, FALSE)</f>
        <v>#N/A</v>
      </c>
      <c r="D160" s="2" t="e">
        <f>VLOOKUP(C160, Terminales!$B$1:$C$15, 2, FALSE)</f>
        <v>#N/A</v>
      </c>
      <c r="M160" s="2"/>
    </row>
    <row r="161" spans="3:13" x14ac:dyDescent="0.3">
      <c r="C161" t="e">
        <f>VLOOKUP(B161, Terminales!$A$1:$B$15, 2, FALSE)</f>
        <v>#N/A</v>
      </c>
      <c r="D161" s="2" t="e">
        <f>VLOOKUP(C161, Terminales!$B$1:$C$15, 2, FALSE)</f>
        <v>#N/A</v>
      </c>
      <c r="M161" s="2"/>
    </row>
    <row r="162" spans="3:13" x14ac:dyDescent="0.3">
      <c r="C162" t="e">
        <f>VLOOKUP(B162, Terminales!$A$1:$B$15, 2, FALSE)</f>
        <v>#N/A</v>
      </c>
      <c r="D162" s="2" t="e">
        <f>VLOOKUP(C162, Terminales!$B$1:$C$15, 2, FALSE)</f>
        <v>#N/A</v>
      </c>
      <c r="M162" s="2"/>
    </row>
    <row r="163" spans="3:13" x14ac:dyDescent="0.3">
      <c r="C163" t="e">
        <f>VLOOKUP(B163, Terminales!$A$1:$B$15, 2, FALSE)</f>
        <v>#N/A</v>
      </c>
      <c r="D163" s="2" t="e">
        <f>VLOOKUP(C163, Terminales!$B$1:$C$15, 2, FALSE)</f>
        <v>#N/A</v>
      </c>
      <c r="M163" s="2"/>
    </row>
    <row r="164" spans="3:13" x14ac:dyDescent="0.3">
      <c r="C164" t="e">
        <f>VLOOKUP(B164, Terminales!$A$1:$B$15, 2, FALSE)</f>
        <v>#N/A</v>
      </c>
      <c r="D164" s="2" t="e">
        <f>VLOOKUP(C164, Terminales!$B$1:$C$15, 2, FALSE)</f>
        <v>#N/A</v>
      </c>
      <c r="M164" s="2"/>
    </row>
    <row r="165" spans="3:13" x14ac:dyDescent="0.3">
      <c r="C165" t="e">
        <f>VLOOKUP(B165, Terminales!$A$1:$B$15, 2, FALSE)</f>
        <v>#N/A</v>
      </c>
      <c r="D165" s="2" t="e">
        <f>VLOOKUP(C165, Terminales!$B$1:$C$15, 2, FALSE)</f>
        <v>#N/A</v>
      </c>
      <c r="M165" s="2"/>
    </row>
    <row r="166" spans="3:13" x14ac:dyDescent="0.3">
      <c r="C166" t="e">
        <f>VLOOKUP(B166, Terminales!$A$1:$B$15, 2, FALSE)</f>
        <v>#N/A</v>
      </c>
      <c r="D166" s="2" t="e">
        <f>VLOOKUP(C166, Terminales!$B$1:$C$15, 2, FALSE)</f>
        <v>#N/A</v>
      </c>
      <c r="M166" s="2"/>
    </row>
    <row r="167" spans="3:13" x14ac:dyDescent="0.3">
      <c r="C167" t="e">
        <f>VLOOKUP(B167, Terminales!$A$1:$B$15, 2, FALSE)</f>
        <v>#N/A</v>
      </c>
      <c r="D167" s="2" t="e">
        <f>VLOOKUP(C167, Terminales!$B$1:$C$15, 2, FALSE)</f>
        <v>#N/A</v>
      </c>
      <c r="M167" s="2"/>
    </row>
    <row r="168" spans="3:13" x14ac:dyDescent="0.3">
      <c r="C168" t="e">
        <f>VLOOKUP(B168, Terminales!$A$1:$B$15, 2, FALSE)</f>
        <v>#N/A</v>
      </c>
      <c r="D168" s="2" t="e">
        <f>VLOOKUP(C168, Terminales!$B$1:$C$15, 2, FALSE)</f>
        <v>#N/A</v>
      </c>
      <c r="M168" s="2"/>
    </row>
    <row r="169" spans="3:13" x14ac:dyDescent="0.3">
      <c r="C169" t="e">
        <f>VLOOKUP(B169, Terminales!$A$1:$B$15, 2, FALSE)</f>
        <v>#N/A</v>
      </c>
      <c r="D169" s="2" t="e">
        <f>VLOOKUP(C169, Terminales!$B$1:$C$15, 2, FALSE)</f>
        <v>#N/A</v>
      </c>
      <c r="M169" s="2"/>
    </row>
    <row r="170" spans="3:13" x14ac:dyDescent="0.3">
      <c r="C170" t="e">
        <f>VLOOKUP(B170, Terminales!$A$1:$B$15, 2, FALSE)</f>
        <v>#N/A</v>
      </c>
      <c r="D170" s="2" t="e">
        <f>VLOOKUP(C170, Terminales!$B$1:$C$15, 2, FALSE)</f>
        <v>#N/A</v>
      </c>
      <c r="M170" s="2"/>
    </row>
    <row r="171" spans="3:13" x14ac:dyDescent="0.3">
      <c r="C171" t="e">
        <f>VLOOKUP(B171, Terminales!$A$1:$B$15, 2, FALSE)</f>
        <v>#N/A</v>
      </c>
      <c r="D171" s="2" t="e">
        <f>VLOOKUP(C171, Terminales!$B$1:$C$15, 2, FALSE)</f>
        <v>#N/A</v>
      </c>
      <c r="M171" s="2"/>
    </row>
    <row r="172" spans="3:13" x14ac:dyDescent="0.3">
      <c r="C172" t="e">
        <f>VLOOKUP(B172, Terminales!$A$1:$B$15, 2, FALSE)</f>
        <v>#N/A</v>
      </c>
      <c r="D172" s="2" t="e">
        <f>VLOOKUP(C172, Terminales!$B$1:$C$15, 2, FALSE)</f>
        <v>#N/A</v>
      </c>
      <c r="M172" s="2"/>
    </row>
    <row r="173" spans="3:13" x14ac:dyDescent="0.3">
      <c r="C173" t="e">
        <f>VLOOKUP(B173, Terminales!$A$1:$B$15, 2, FALSE)</f>
        <v>#N/A</v>
      </c>
      <c r="D173" s="2" t="e">
        <f>VLOOKUP(C173, Terminales!$B$1:$C$15, 2, FALSE)</f>
        <v>#N/A</v>
      </c>
      <c r="M173" s="2"/>
    </row>
    <row r="174" spans="3:13" x14ac:dyDescent="0.3">
      <c r="C174" t="e">
        <f>VLOOKUP(B174, Terminales!$A$1:$B$15, 2, FALSE)</f>
        <v>#N/A</v>
      </c>
      <c r="D174" s="2" t="e">
        <f>VLOOKUP(C174, Terminales!$B$1:$C$15, 2, FALSE)</f>
        <v>#N/A</v>
      </c>
      <c r="M174" s="2"/>
    </row>
    <row r="175" spans="3:13" x14ac:dyDescent="0.3">
      <c r="C175" t="e">
        <f>VLOOKUP(B175, Terminales!$A$1:$B$15, 2, FALSE)</f>
        <v>#N/A</v>
      </c>
      <c r="D175" s="2" t="e">
        <f>VLOOKUP(C175, Terminales!$B$1:$C$15, 2, FALSE)</f>
        <v>#N/A</v>
      </c>
      <c r="M175" s="2"/>
    </row>
    <row r="176" spans="3:13" x14ac:dyDescent="0.3">
      <c r="C176" t="e">
        <f>VLOOKUP(B176, Terminales!$A$1:$B$15, 2, FALSE)</f>
        <v>#N/A</v>
      </c>
      <c r="D176" s="2" t="e">
        <f>VLOOKUP(C176, Terminales!$B$1:$C$15, 2, FALSE)</f>
        <v>#N/A</v>
      </c>
      <c r="M176" s="2"/>
    </row>
    <row r="177" spans="3:13" x14ac:dyDescent="0.3">
      <c r="C177" t="e">
        <f>VLOOKUP(B177, Terminales!$A$1:$B$15, 2, FALSE)</f>
        <v>#N/A</v>
      </c>
      <c r="D177" s="2" t="e">
        <f>VLOOKUP(C177, Terminales!$B$1:$C$15, 2, FALSE)</f>
        <v>#N/A</v>
      </c>
      <c r="M177" s="2"/>
    </row>
    <row r="178" spans="3:13" x14ac:dyDescent="0.3">
      <c r="C178" t="e">
        <f>VLOOKUP(B178, Terminales!$A$1:$B$15, 2, FALSE)</f>
        <v>#N/A</v>
      </c>
      <c r="D178" s="2" t="e">
        <f>VLOOKUP(C178, Terminales!$B$1:$C$15, 2, FALSE)</f>
        <v>#N/A</v>
      </c>
      <c r="M178" s="2"/>
    </row>
    <row r="179" spans="3:13" x14ac:dyDescent="0.3">
      <c r="C179" t="e">
        <f>VLOOKUP(B179, Terminales!$A$1:$B$15, 2, FALSE)</f>
        <v>#N/A</v>
      </c>
      <c r="D179" s="2" t="e">
        <f>VLOOKUP(C179, Terminales!$B$1:$C$15, 2, FALSE)</f>
        <v>#N/A</v>
      </c>
      <c r="M179" s="2"/>
    </row>
    <row r="180" spans="3:13" x14ac:dyDescent="0.3">
      <c r="C180" t="e">
        <f>VLOOKUP(B180, Terminales!$A$1:$B$15, 2, FALSE)</f>
        <v>#N/A</v>
      </c>
      <c r="D180" s="2" t="e">
        <f>VLOOKUP(C180, Terminales!$B$1:$C$15, 2, FALSE)</f>
        <v>#N/A</v>
      </c>
      <c r="M180" s="2"/>
    </row>
    <row r="181" spans="3:13" x14ac:dyDescent="0.3">
      <c r="C181" t="e">
        <f>VLOOKUP(B181, Terminales!$A$1:$B$15, 2, FALSE)</f>
        <v>#N/A</v>
      </c>
      <c r="D181" s="2" t="e">
        <f>VLOOKUP(C181, Terminales!$B$1:$C$15, 2, FALSE)</f>
        <v>#N/A</v>
      </c>
      <c r="M181" s="2"/>
    </row>
    <row r="182" spans="3:13" x14ac:dyDescent="0.3">
      <c r="C182" t="e">
        <f>VLOOKUP(B182, Terminales!$A$1:$B$15, 2, FALSE)</f>
        <v>#N/A</v>
      </c>
      <c r="D182" s="2" t="e">
        <f>VLOOKUP(C182, Terminales!$B$1:$C$15, 2, FALSE)</f>
        <v>#N/A</v>
      </c>
      <c r="M182" s="2"/>
    </row>
    <row r="183" spans="3:13" x14ac:dyDescent="0.3">
      <c r="C183" t="e">
        <f>VLOOKUP(B183, Terminales!$A$1:$B$15, 2, FALSE)</f>
        <v>#N/A</v>
      </c>
      <c r="D183" s="2" t="e">
        <f>VLOOKUP(C183, Terminales!$B$1:$C$15, 2, FALSE)</f>
        <v>#N/A</v>
      </c>
      <c r="M183" s="2"/>
    </row>
    <row r="184" spans="3:13" x14ac:dyDescent="0.3">
      <c r="C184" t="e">
        <f>VLOOKUP(B184, Terminales!$A$1:$B$15, 2, FALSE)</f>
        <v>#N/A</v>
      </c>
      <c r="D184" s="2" t="e">
        <f>VLOOKUP(C184, Terminales!$B$1:$C$15, 2, FALSE)</f>
        <v>#N/A</v>
      </c>
      <c r="M184" s="2"/>
    </row>
    <row r="185" spans="3:13" x14ac:dyDescent="0.3">
      <c r="C185" t="e">
        <f>VLOOKUP(B185, Terminales!$A$1:$B$15, 2, FALSE)</f>
        <v>#N/A</v>
      </c>
      <c r="D185" s="2" t="e">
        <f>VLOOKUP(C185, Terminales!$B$1:$C$15, 2, FALSE)</f>
        <v>#N/A</v>
      </c>
      <c r="M185" s="2"/>
    </row>
    <row r="186" spans="3:13" x14ac:dyDescent="0.3">
      <c r="C186" t="e">
        <f>VLOOKUP(B186, Terminales!$A$1:$B$15, 2, FALSE)</f>
        <v>#N/A</v>
      </c>
      <c r="D186" s="2" t="e">
        <f>VLOOKUP(C186, Terminales!$B$1:$C$15, 2, FALSE)</f>
        <v>#N/A</v>
      </c>
      <c r="M186" s="2"/>
    </row>
    <row r="187" spans="3:13" x14ac:dyDescent="0.3">
      <c r="C187" t="e">
        <f>VLOOKUP(B187, Terminales!$A$1:$B$15, 2, FALSE)</f>
        <v>#N/A</v>
      </c>
      <c r="D187" s="2" t="e">
        <f>VLOOKUP(C187, Terminales!$B$1:$C$15, 2, FALSE)</f>
        <v>#N/A</v>
      </c>
      <c r="M187" s="2"/>
    </row>
    <row r="188" spans="3:13" x14ac:dyDescent="0.3">
      <c r="C188" t="e">
        <f>VLOOKUP(B188, Terminales!$A$1:$B$15, 2, FALSE)</f>
        <v>#N/A</v>
      </c>
      <c r="D188" s="2" t="e">
        <f>VLOOKUP(C188, Terminales!$B$1:$C$15, 2, FALSE)</f>
        <v>#N/A</v>
      </c>
      <c r="M188" s="2"/>
    </row>
    <row r="189" spans="3:13" x14ac:dyDescent="0.3">
      <c r="C189" t="e">
        <f>VLOOKUP(B189, Terminales!$A$1:$B$15, 2, FALSE)</f>
        <v>#N/A</v>
      </c>
      <c r="D189" s="2" t="e">
        <f>VLOOKUP(C189, Terminales!$B$1:$C$15, 2, FALSE)</f>
        <v>#N/A</v>
      </c>
      <c r="M189" s="2"/>
    </row>
    <row r="190" spans="3:13" x14ac:dyDescent="0.3">
      <c r="C190" t="e">
        <f>VLOOKUP(B190, Terminales!$A$1:$B$15, 2, FALSE)</f>
        <v>#N/A</v>
      </c>
      <c r="D190" s="2" t="e">
        <f>VLOOKUP(C190, Terminales!$B$1:$C$15, 2, FALSE)</f>
        <v>#N/A</v>
      </c>
      <c r="M190" s="2"/>
    </row>
    <row r="191" spans="3:13" x14ac:dyDescent="0.3">
      <c r="C191" t="e">
        <f>VLOOKUP(B191, Terminales!$A$1:$B$15, 2, FALSE)</f>
        <v>#N/A</v>
      </c>
      <c r="D191" s="2" t="e">
        <f>VLOOKUP(C191, Terminales!$B$1:$C$15, 2, FALSE)</f>
        <v>#N/A</v>
      </c>
      <c r="M191" s="2"/>
    </row>
    <row r="192" spans="3:13" x14ac:dyDescent="0.3">
      <c r="C192" t="e">
        <f>VLOOKUP(B192, Terminales!$A$1:$B$15, 2, FALSE)</f>
        <v>#N/A</v>
      </c>
      <c r="D192" s="2" t="e">
        <f>VLOOKUP(C192, Terminales!$B$1:$C$15, 2, FALSE)</f>
        <v>#N/A</v>
      </c>
      <c r="M192" s="2"/>
    </row>
    <row r="193" spans="2:13" x14ac:dyDescent="0.3">
      <c r="C193" t="e">
        <f>VLOOKUP(B193, Terminales!$A$1:$B$15, 2, FALSE)</f>
        <v>#N/A</v>
      </c>
      <c r="D193" s="2" t="e">
        <f>VLOOKUP(C193, Terminales!$B$1:$C$15, 2, FALSE)</f>
        <v>#N/A</v>
      </c>
      <c r="M193" s="2"/>
    </row>
    <row r="194" spans="2:13" x14ac:dyDescent="0.3">
      <c r="C194" t="e">
        <f>VLOOKUP(B194, Terminales!$A$1:$B$15, 2, FALSE)</f>
        <v>#N/A</v>
      </c>
      <c r="D194" s="2" t="e">
        <f>VLOOKUP(C194, Terminales!$B$1:$C$15, 2, FALSE)</f>
        <v>#N/A</v>
      </c>
      <c r="M194" s="2"/>
    </row>
    <row r="195" spans="2:13" x14ac:dyDescent="0.3">
      <c r="C195" t="e">
        <f>VLOOKUP(B195, Terminales!$A$1:$B$15, 2, FALSE)</f>
        <v>#N/A</v>
      </c>
      <c r="D195" s="2" t="e">
        <f>VLOOKUP(C195, Terminales!$B$1:$C$15, 2, FALSE)</f>
        <v>#N/A</v>
      </c>
      <c r="M195" s="2"/>
    </row>
    <row r="196" spans="2:13" x14ac:dyDescent="0.3">
      <c r="C196" t="e">
        <f>VLOOKUP(B196, Terminales!$A$1:$B$15, 2, FALSE)</f>
        <v>#N/A</v>
      </c>
      <c r="D196" s="2" t="e">
        <f>VLOOKUP(C196, Terminales!$B$1:$C$15, 2, FALSE)</f>
        <v>#N/A</v>
      </c>
      <c r="M196" s="2"/>
    </row>
    <row r="197" spans="2:13" x14ac:dyDescent="0.3">
      <c r="C197" t="e">
        <f>VLOOKUP(B197, Terminales!$A$1:$B$15, 2, FALSE)</f>
        <v>#N/A</v>
      </c>
      <c r="D197" s="2" t="e">
        <f>VLOOKUP(C197, Terminales!$B$1:$C$15, 2, FALSE)</f>
        <v>#N/A</v>
      </c>
      <c r="M197" s="2"/>
    </row>
    <row r="198" spans="2:13" x14ac:dyDescent="0.3">
      <c r="C198" t="e">
        <f>VLOOKUP(B198, Terminales!$A$1:$B$15, 2, FALSE)</f>
        <v>#N/A</v>
      </c>
      <c r="D198" s="2" t="e">
        <f>VLOOKUP(C198, Terminales!$B$1:$C$15, 2, FALSE)</f>
        <v>#N/A</v>
      </c>
      <c r="M198" s="2"/>
    </row>
    <row r="199" spans="2:13" x14ac:dyDescent="0.3">
      <c r="C199" t="e">
        <f>VLOOKUP(B199, Terminales!$A$1:$B$15, 2, FALSE)</f>
        <v>#N/A</v>
      </c>
      <c r="D199" s="2" t="e">
        <f>VLOOKUP(C199, Terminales!$B$1:$C$15, 2, FALSE)</f>
        <v>#N/A</v>
      </c>
      <c r="M199" s="2"/>
    </row>
    <row r="200" spans="2:13" x14ac:dyDescent="0.3">
      <c r="C200" t="e">
        <f>VLOOKUP(B200, Terminales!$A$1:$B$15, 2, FALSE)</f>
        <v>#N/A</v>
      </c>
      <c r="D200" s="2" t="e">
        <f>VLOOKUP(C200, Terminales!$B$1:$C$15, 2, FALSE)</f>
        <v>#N/A</v>
      </c>
      <c r="M200" s="2"/>
    </row>
    <row r="201" spans="2:13" x14ac:dyDescent="0.3">
      <c r="B201" s="8"/>
      <c r="E201" s="24"/>
    </row>
    <row r="202" spans="2:13" x14ac:dyDescent="0.3">
      <c r="B202" s="8"/>
      <c r="E202" s="24"/>
    </row>
    <row r="203" spans="2:13" x14ac:dyDescent="0.3">
      <c r="B203" s="8"/>
      <c r="E203" s="24"/>
    </row>
    <row r="204" spans="2:13" x14ac:dyDescent="0.3">
      <c r="B204" s="8"/>
      <c r="E204" s="24"/>
    </row>
    <row r="205" spans="2:13" x14ac:dyDescent="0.3">
      <c r="B205" s="8"/>
      <c r="E205" s="24"/>
    </row>
    <row r="206" spans="2:13" x14ac:dyDescent="0.3">
      <c r="B206" s="8"/>
      <c r="E206" s="24"/>
    </row>
    <row r="207" spans="2:13" x14ac:dyDescent="0.3">
      <c r="B207" s="8"/>
      <c r="E207" s="24"/>
    </row>
    <row r="208" spans="2:13" x14ac:dyDescent="0.3">
      <c r="B208" s="8"/>
      <c r="E208" s="24"/>
    </row>
    <row r="209" spans="2:5" x14ac:dyDescent="0.3">
      <c r="B209" s="8"/>
      <c r="E209" s="24"/>
    </row>
    <row r="210" spans="2:5" x14ac:dyDescent="0.3">
      <c r="B210" s="8"/>
      <c r="E210" s="24"/>
    </row>
    <row r="211" spans="2:5" x14ac:dyDescent="0.3">
      <c r="B211" s="8"/>
      <c r="E211" s="24"/>
    </row>
    <row r="212" spans="2:5" x14ac:dyDescent="0.3">
      <c r="B212" s="8"/>
      <c r="E212" s="24"/>
    </row>
    <row r="213" spans="2:5" x14ac:dyDescent="0.3">
      <c r="B213" s="8"/>
      <c r="E213" s="24"/>
    </row>
    <row r="214" spans="2:5" x14ac:dyDescent="0.3">
      <c r="B214" s="8"/>
      <c r="E214" s="24"/>
    </row>
    <row r="215" spans="2:5" x14ac:dyDescent="0.3">
      <c r="B215" s="8"/>
      <c r="E215" s="24"/>
    </row>
    <row r="216" spans="2:5" x14ac:dyDescent="0.3">
      <c r="B216" s="8"/>
      <c r="E216" s="24"/>
    </row>
    <row r="217" spans="2:5" x14ac:dyDescent="0.3">
      <c r="B217" s="8"/>
      <c r="E217" s="24"/>
    </row>
    <row r="218" spans="2:5" x14ac:dyDescent="0.3">
      <c r="B218" s="8"/>
      <c r="E218" s="24"/>
    </row>
  </sheetData>
  <autoFilter ref="A2:M200" xr:uid="{957A7302-4D0A-4F46-8BE8-EBB141A1EA4D}"/>
  <dataValidations count="2">
    <dataValidation type="list" allowBlank="1" showInputMessage="1" showErrorMessage="1" sqref="G201:G218 G3:G94" xr:uid="{89A16111-2CA6-41AC-87F6-A0D34A5F6277}">
      <formula1>"TINKA, GANA DIARIO, KÁBALA, RAPITINKA"</formula1>
    </dataValidation>
    <dataValidation type="list" allowBlank="1" showInputMessage="1" showErrorMessage="1" sqref="L3:L194 L201:L218" xr:uid="{51A8EAB4-6571-4B24-AD9A-4D998813E1E1}">
      <formula1>"Si,No"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05EDB99-E926-4BAF-AFDE-2196740FF71B}">
          <x14:formula1>
            <xm:f>Terminales!$A$1:$A$15</xm:f>
          </x14:formula1>
          <xm:sqref>B175:B200 B219:B384</xm:sqref>
        </x14:dataValidation>
        <x14:dataValidation type="list" allowBlank="1" showInputMessage="1" showErrorMessage="1" xr:uid="{2F46931D-F3A3-4776-B83A-E8D4533A041B}">
          <x14:formula1>
            <xm:f>Terminales!$A$1:$A$21</xm:f>
          </x14:formula1>
          <xm:sqref>B3:B174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56845-87B6-4655-8CD7-D530754D1415}">
  <dimension ref="A1:B18"/>
  <sheetViews>
    <sheetView workbookViewId="0">
      <selection activeCell="A3" sqref="A3:B18"/>
    </sheetView>
  </sheetViews>
  <sheetFormatPr baseColWidth="10" defaultRowHeight="14.4" x14ac:dyDescent="0.3"/>
  <cols>
    <col min="1" max="1" width="11.6640625" bestFit="1" customWidth="1"/>
    <col min="2" max="2" width="47.44140625" bestFit="1" customWidth="1"/>
  </cols>
  <sheetData>
    <row r="1" spans="1:2" x14ac:dyDescent="0.3">
      <c r="A1" s="60" t="s">
        <v>212</v>
      </c>
    </row>
    <row r="3" spans="1:2" x14ac:dyDescent="0.3">
      <c r="A3" t="s">
        <v>0</v>
      </c>
      <c r="B3" t="s">
        <v>1</v>
      </c>
    </row>
    <row r="4" spans="1:2" x14ac:dyDescent="0.3">
      <c r="A4">
        <v>120365</v>
      </c>
      <c r="B4" t="s">
        <v>6</v>
      </c>
    </row>
    <row r="5" spans="1:2" x14ac:dyDescent="0.3">
      <c r="A5">
        <v>120365</v>
      </c>
      <c r="B5" t="s">
        <v>6</v>
      </c>
    </row>
    <row r="6" spans="1:2" x14ac:dyDescent="0.3">
      <c r="A6">
        <v>120365</v>
      </c>
      <c r="B6" t="s">
        <v>6</v>
      </c>
    </row>
    <row r="7" spans="1:2" x14ac:dyDescent="0.3">
      <c r="A7">
        <v>120365</v>
      </c>
      <c r="B7" t="s">
        <v>6</v>
      </c>
    </row>
    <row r="8" spans="1:2" x14ac:dyDescent="0.3">
      <c r="A8">
        <v>120365</v>
      </c>
      <c r="B8" t="s">
        <v>6</v>
      </c>
    </row>
    <row r="9" spans="1:2" x14ac:dyDescent="0.3">
      <c r="A9">
        <v>120365</v>
      </c>
      <c r="B9" t="s">
        <v>6</v>
      </c>
    </row>
    <row r="10" spans="1:2" x14ac:dyDescent="0.3">
      <c r="A10">
        <v>120365</v>
      </c>
      <c r="B10" t="s">
        <v>6</v>
      </c>
    </row>
    <row r="11" spans="1:2" x14ac:dyDescent="0.3">
      <c r="A11">
        <v>120365</v>
      </c>
      <c r="B11" t="s">
        <v>6</v>
      </c>
    </row>
    <row r="12" spans="1:2" x14ac:dyDescent="0.3">
      <c r="A12">
        <v>120365</v>
      </c>
      <c r="B12" t="s">
        <v>6</v>
      </c>
    </row>
    <row r="13" spans="1:2" x14ac:dyDescent="0.3">
      <c r="A13">
        <v>120365</v>
      </c>
      <c r="B13" t="s">
        <v>6</v>
      </c>
    </row>
    <row r="14" spans="1:2" x14ac:dyDescent="0.3">
      <c r="A14">
        <v>120365</v>
      </c>
      <c r="B14" t="s">
        <v>6</v>
      </c>
    </row>
    <row r="15" spans="1:2" x14ac:dyDescent="0.3">
      <c r="A15">
        <v>120365</v>
      </c>
      <c r="B15" t="s">
        <v>6</v>
      </c>
    </row>
    <row r="16" spans="1:2" x14ac:dyDescent="0.3">
      <c r="A16">
        <v>120365</v>
      </c>
      <c r="B16" t="s">
        <v>6</v>
      </c>
    </row>
    <row r="17" spans="1:2" x14ac:dyDescent="0.3">
      <c r="A17">
        <v>120365</v>
      </c>
      <c r="B17" t="s">
        <v>6</v>
      </c>
    </row>
    <row r="18" spans="1:2" x14ac:dyDescent="0.3">
      <c r="A18">
        <v>120365</v>
      </c>
      <c r="B18" t="s">
        <v>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38C9-F7A2-4B2C-996B-E91F113BC152}">
  <dimension ref="A1:B7"/>
  <sheetViews>
    <sheetView workbookViewId="0">
      <selection activeCell="A3" sqref="A3:B7"/>
    </sheetView>
  </sheetViews>
  <sheetFormatPr baseColWidth="10" defaultRowHeight="14.4" x14ac:dyDescent="0.3"/>
  <cols>
    <col min="1" max="1" width="11.6640625" bestFit="1" customWidth="1"/>
    <col min="2" max="2" width="52" bestFit="1" customWidth="1"/>
  </cols>
  <sheetData>
    <row r="1" spans="1:2" x14ac:dyDescent="0.3">
      <c r="A1" s="60" t="s">
        <v>213</v>
      </c>
    </row>
    <row r="3" spans="1:2" x14ac:dyDescent="0.3">
      <c r="A3" t="s">
        <v>0</v>
      </c>
      <c r="B3" t="s">
        <v>1</v>
      </c>
    </row>
    <row r="4" spans="1:2" x14ac:dyDescent="0.3">
      <c r="A4">
        <v>105836</v>
      </c>
      <c r="B4" t="s">
        <v>5</v>
      </c>
    </row>
    <row r="5" spans="1:2" x14ac:dyDescent="0.3">
      <c r="A5">
        <v>105836</v>
      </c>
      <c r="B5" t="s">
        <v>5</v>
      </c>
    </row>
    <row r="6" spans="1:2" x14ac:dyDescent="0.3">
      <c r="A6">
        <v>105836</v>
      </c>
      <c r="B6" t="s">
        <v>5</v>
      </c>
    </row>
    <row r="7" spans="1:2" x14ac:dyDescent="0.3">
      <c r="A7">
        <v>105836</v>
      </c>
      <c r="B7" t="s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53FDC-73D8-4F15-AD4C-608EA1A49390}">
  <dimension ref="A1:B23"/>
  <sheetViews>
    <sheetView workbookViewId="0">
      <selection activeCell="A3" sqref="A3:B23"/>
    </sheetView>
  </sheetViews>
  <sheetFormatPr baseColWidth="10" defaultRowHeight="14.4" x14ac:dyDescent="0.3"/>
  <cols>
    <col min="1" max="1" width="11.6640625" bestFit="1" customWidth="1"/>
    <col min="2" max="2" width="38" bestFit="1" customWidth="1"/>
  </cols>
  <sheetData>
    <row r="1" spans="1:2" x14ac:dyDescent="0.3">
      <c r="A1" s="60" t="s">
        <v>214</v>
      </c>
    </row>
    <row r="3" spans="1:2" x14ac:dyDescent="0.3">
      <c r="A3" t="s">
        <v>0</v>
      </c>
      <c r="B3" t="s">
        <v>1</v>
      </c>
    </row>
    <row r="4" spans="1:2" x14ac:dyDescent="0.3">
      <c r="A4">
        <v>124930</v>
      </c>
      <c r="B4" t="s">
        <v>3</v>
      </c>
    </row>
    <row r="5" spans="1:2" x14ac:dyDescent="0.3">
      <c r="A5">
        <v>124930</v>
      </c>
      <c r="B5" t="s">
        <v>3</v>
      </c>
    </row>
    <row r="6" spans="1:2" x14ac:dyDescent="0.3">
      <c r="A6">
        <v>124930</v>
      </c>
      <c r="B6" t="s">
        <v>3</v>
      </c>
    </row>
    <row r="7" spans="1:2" x14ac:dyDescent="0.3">
      <c r="A7">
        <v>124930</v>
      </c>
      <c r="B7" t="s">
        <v>3</v>
      </c>
    </row>
    <row r="8" spans="1:2" x14ac:dyDescent="0.3">
      <c r="A8">
        <v>124930</v>
      </c>
      <c r="B8" t="s">
        <v>3</v>
      </c>
    </row>
    <row r="9" spans="1:2" x14ac:dyDescent="0.3">
      <c r="A9">
        <v>124930</v>
      </c>
      <c r="B9" t="s">
        <v>3</v>
      </c>
    </row>
    <row r="10" spans="1:2" x14ac:dyDescent="0.3">
      <c r="A10">
        <v>124930</v>
      </c>
      <c r="B10" t="s">
        <v>3</v>
      </c>
    </row>
    <row r="11" spans="1:2" x14ac:dyDescent="0.3">
      <c r="A11">
        <v>124930</v>
      </c>
      <c r="B11" t="s">
        <v>3</v>
      </c>
    </row>
    <row r="12" spans="1:2" x14ac:dyDescent="0.3">
      <c r="A12">
        <v>124930</v>
      </c>
      <c r="B12" t="s">
        <v>3</v>
      </c>
    </row>
    <row r="13" spans="1:2" x14ac:dyDescent="0.3">
      <c r="A13">
        <v>124930</v>
      </c>
      <c r="B13" t="s">
        <v>3</v>
      </c>
    </row>
    <row r="14" spans="1:2" x14ac:dyDescent="0.3">
      <c r="A14">
        <v>124930</v>
      </c>
      <c r="B14" t="s">
        <v>3</v>
      </c>
    </row>
    <row r="15" spans="1:2" x14ac:dyDescent="0.3">
      <c r="A15">
        <v>124930</v>
      </c>
      <c r="B15" t="s">
        <v>3</v>
      </c>
    </row>
    <row r="16" spans="1:2" x14ac:dyDescent="0.3">
      <c r="A16">
        <v>124930</v>
      </c>
      <c r="B16" t="s">
        <v>3</v>
      </c>
    </row>
    <row r="17" spans="1:2" x14ac:dyDescent="0.3">
      <c r="A17">
        <v>124930</v>
      </c>
      <c r="B17" t="s">
        <v>3</v>
      </c>
    </row>
    <row r="18" spans="1:2" x14ac:dyDescent="0.3">
      <c r="A18">
        <v>124930</v>
      </c>
      <c r="B18" t="s">
        <v>3</v>
      </c>
    </row>
    <row r="19" spans="1:2" x14ac:dyDescent="0.3">
      <c r="A19">
        <v>124930</v>
      </c>
      <c r="B19" t="s">
        <v>3</v>
      </c>
    </row>
    <row r="20" spans="1:2" x14ac:dyDescent="0.3">
      <c r="A20">
        <v>124930</v>
      </c>
      <c r="B20" t="s">
        <v>3</v>
      </c>
    </row>
    <row r="21" spans="1:2" x14ac:dyDescent="0.3">
      <c r="A21">
        <v>124930</v>
      </c>
      <c r="B21" t="s">
        <v>3</v>
      </c>
    </row>
    <row r="22" spans="1:2" x14ac:dyDescent="0.3">
      <c r="A22">
        <v>124930</v>
      </c>
      <c r="B22" t="s">
        <v>3</v>
      </c>
    </row>
    <row r="23" spans="1:2" x14ac:dyDescent="0.3">
      <c r="A23">
        <v>124930</v>
      </c>
      <c r="B23" t="s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8428D-44EC-4426-B9EB-15869F418729}">
  <dimension ref="A3:B18"/>
  <sheetViews>
    <sheetView workbookViewId="0">
      <selection activeCell="B6" sqref="B6"/>
    </sheetView>
  </sheetViews>
  <sheetFormatPr baseColWidth="10" defaultRowHeight="14.4" x14ac:dyDescent="0.3"/>
  <cols>
    <col min="1" max="1" width="52" bestFit="1" customWidth="1"/>
    <col min="2" max="2" width="20.77734375" bestFit="1" customWidth="1"/>
  </cols>
  <sheetData>
    <row r="3" spans="1:2" x14ac:dyDescent="0.3">
      <c r="A3" s="26" t="s">
        <v>124</v>
      </c>
      <c r="B3" t="s">
        <v>128</v>
      </c>
    </row>
    <row r="4" spans="1:2" x14ac:dyDescent="0.3">
      <c r="A4" s="27" t="s">
        <v>5</v>
      </c>
      <c r="B4">
        <v>4</v>
      </c>
    </row>
    <row r="5" spans="1:2" x14ac:dyDescent="0.3">
      <c r="A5" s="27" t="s">
        <v>16</v>
      </c>
      <c r="B5">
        <v>2</v>
      </c>
    </row>
    <row r="6" spans="1:2" x14ac:dyDescent="0.3">
      <c r="A6" s="27" t="s">
        <v>3</v>
      </c>
      <c r="B6">
        <v>25</v>
      </c>
    </row>
    <row r="7" spans="1:2" x14ac:dyDescent="0.3">
      <c r="A7" s="27" t="s">
        <v>15</v>
      </c>
      <c r="B7">
        <v>1</v>
      </c>
    </row>
    <row r="8" spans="1:2" x14ac:dyDescent="0.3">
      <c r="A8" s="27" t="s">
        <v>6</v>
      </c>
      <c r="B8">
        <v>15</v>
      </c>
    </row>
    <row r="9" spans="1:2" x14ac:dyDescent="0.3">
      <c r="A9" s="27" t="s">
        <v>14</v>
      </c>
      <c r="B9">
        <v>1</v>
      </c>
    </row>
    <row r="10" spans="1:2" x14ac:dyDescent="0.3">
      <c r="A10" s="27" t="s">
        <v>4</v>
      </c>
      <c r="B10">
        <v>8</v>
      </c>
    </row>
    <row r="11" spans="1:2" x14ac:dyDescent="0.3">
      <c r="A11" s="27" t="s">
        <v>125</v>
      </c>
    </row>
    <row r="12" spans="1:2" x14ac:dyDescent="0.3">
      <c r="A12" s="27" t="s">
        <v>126</v>
      </c>
    </row>
    <row r="13" spans="1:2" x14ac:dyDescent="0.3">
      <c r="A13" s="27" t="s">
        <v>9</v>
      </c>
      <c r="B13">
        <v>2</v>
      </c>
    </row>
    <row r="14" spans="1:2" x14ac:dyDescent="0.3">
      <c r="A14" s="27" t="s">
        <v>7</v>
      </c>
      <c r="B14">
        <v>2</v>
      </c>
    </row>
    <row r="15" spans="1:2" x14ac:dyDescent="0.3">
      <c r="A15" s="27" t="s">
        <v>12</v>
      </c>
      <c r="B15">
        <v>1</v>
      </c>
    </row>
    <row r="16" spans="1:2" x14ac:dyDescent="0.3">
      <c r="A16" s="27" t="s">
        <v>8</v>
      </c>
      <c r="B16">
        <v>1</v>
      </c>
    </row>
    <row r="17" spans="1:2" x14ac:dyDescent="0.3">
      <c r="A17" s="27" t="s">
        <v>150</v>
      </c>
      <c r="B17">
        <v>1</v>
      </c>
    </row>
    <row r="18" spans="1:2" x14ac:dyDescent="0.3">
      <c r="A18" s="27" t="s">
        <v>127</v>
      </c>
      <c r="B18">
        <v>63</v>
      </c>
    </row>
  </sheetData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C7FDE-1DCB-442C-AD97-6A018669F4B3}">
  <dimension ref="A1:E21"/>
  <sheetViews>
    <sheetView zoomScale="80" zoomScaleNormal="80" workbookViewId="0">
      <selection activeCell="A22" sqref="A22"/>
    </sheetView>
  </sheetViews>
  <sheetFormatPr baseColWidth="10" defaultRowHeight="14.4" x14ac:dyDescent="0.3"/>
  <cols>
    <col min="2" max="2" width="53.5546875" customWidth="1"/>
    <col min="3" max="3" width="21.88671875" customWidth="1"/>
  </cols>
  <sheetData>
    <row r="1" spans="1:5" x14ac:dyDescent="0.3">
      <c r="A1">
        <v>101157</v>
      </c>
      <c r="B1" t="s">
        <v>2</v>
      </c>
      <c r="C1" t="s">
        <v>147</v>
      </c>
      <c r="E1" t="s">
        <v>18</v>
      </c>
    </row>
    <row r="2" spans="1:5" s="28" customFormat="1" x14ac:dyDescent="0.3">
      <c r="A2" s="28">
        <v>124930</v>
      </c>
      <c r="B2" s="28" t="s">
        <v>3</v>
      </c>
      <c r="C2" s="28" t="s">
        <v>152</v>
      </c>
      <c r="E2" s="28" t="s">
        <v>19</v>
      </c>
    </row>
    <row r="3" spans="1:5" x14ac:dyDescent="0.3">
      <c r="A3">
        <v>102383</v>
      </c>
      <c r="B3" t="s">
        <v>4</v>
      </c>
      <c r="C3" t="s">
        <v>152</v>
      </c>
      <c r="E3" t="s">
        <v>19</v>
      </c>
    </row>
    <row r="4" spans="1:5" x14ac:dyDescent="0.3">
      <c r="A4">
        <v>105836</v>
      </c>
      <c r="B4" t="s">
        <v>5</v>
      </c>
      <c r="C4" t="s">
        <v>148</v>
      </c>
      <c r="E4" t="s">
        <v>20</v>
      </c>
    </row>
    <row r="5" spans="1:5" s="28" customFormat="1" x14ac:dyDescent="0.3">
      <c r="A5" s="28">
        <v>120365</v>
      </c>
      <c r="B5" s="28" t="s">
        <v>6</v>
      </c>
      <c r="C5" s="28" t="s">
        <v>21</v>
      </c>
      <c r="D5" s="28" t="s">
        <v>153</v>
      </c>
      <c r="E5" s="28" t="s">
        <v>21</v>
      </c>
    </row>
    <row r="6" spans="1:5" x14ac:dyDescent="0.3">
      <c r="A6">
        <v>125124</v>
      </c>
      <c r="B6" t="s">
        <v>7</v>
      </c>
      <c r="C6" t="s">
        <v>148</v>
      </c>
      <c r="E6" t="s">
        <v>20</v>
      </c>
    </row>
    <row r="7" spans="1:5" s="60" customFormat="1" x14ac:dyDescent="0.3">
      <c r="A7" s="60">
        <v>120378</v>
      </c>
      <c r="B7" s="60" t="s">
        <v>8</v>
      </c>
      <c r="C7" s="60" t="s">
        <v>152</v>
      </c>
      <c r="E7" s="60" t="s">
        <v>19</v>
      </c>
    </row>
    <row r="8" spans="1:5" s="60" customFormat="1" x14ac:dyDescent="0.3">
      <c r="A8" s="60">
        <v>127187</v>
      </c>
      <c r="B8" s="60" t="s">
        <v>9</v>
      </c>
      <c r="C8" s="60" t="s">
        <v>22</v>
      </c>
      <c r="E8" s="60" t="s">
        <v>22</v>
      </c>
    </row>
    <row r="9" spans="1:5" s="60" customFormat="1" x14ac:dyDescent="0.3">
      <c r="A9" s="60">
        <v>121545</v>
      </c>
      <c r="B9" s="60" t="s">
        <v>10</v>
      </c>
      <c r="C9" s="60" t="s">
        <v>23</v>
      </c>
      <c r="E9" s="60" t="s">
        <v>23</v>
      </c>
    </row>
    <row r="10" spans="1:5" s="60" customFormat="1" x14ac:dyDescent="0.3">
      <c r="A10" s="60">
        <v>120410</v>
      </c>
      <c r="B10" s="60" t="s">
        <v>11</v>
      </c>
      <c r="C10" s="60" t="s">
        <v>152</v>
      </c>
      <c r="E10" s="60" t="s">
        <v>19</v>
      </c>
    </row>
    <row r="11" spans="1:5" s="60" customFormat="1" x14ac:dyDescent="0.3">
      <c r="A11" s="60">
        <v>120516</v>
      </c>
      <c r="B11" s="60" t="s">
        <v>12</v>
      </c>
      <c r="C11" s="60" t="s">
        <v>148</v>
      </c>
      <c r="E11" s="60" t="s">
        <v>20</v>
      </c>
    </row>
    <row r="12" spans="1:5" s="60" customFormat="1" x14ac:dyDescent="0.3">
      <c r="A12" s="60">
        <v>122929</v>
      </c>
      <c r="B12" s="60" t="s">
        <v>13</v>
      </c>
      <c r="C12" s="60" t="s">
        <v>152</v>
      </c>
      <c r="E12" s="60" t="s">
        <v>19</v>
      </c>
    </row>
    <row r="13" spans="1:5" s="61" customFormat="1" x14ac:dyDescent="0.3">
      <c r="A13" s="61">
        <v>106565</v>
      </c>
      <c r="B13" s="61" t="s">
        <v>14</v>
      </c>
      <c r="C13" s="60" t="s">
        <v>147</v>
      </c>
      <c r="E13" s="61" t="s">
        <v>18</v>
      </c>
    </row>
    <row r="14" spans="1:5" s="60" customFormat="1" x14ac:dyDescent="0.3">
      <c r="A14" s="60">
        <v>125113</v>
      </c>
      <c r="B14" s="60" t="s">
        <v>15</v>
      </c>
      <c r="C14" s="60" t="s">
        <v>23</v>
      </c>
      <c r="E14" s="60" t="s">
        <v>23</v>
      </c>
    </row>
    <row r="15" spans="1:5" s="60" customFormat="1" x14ac:dyDescent="0.3">
      <c r="A15" s="60">
        <v>120937</v>
      </c>
      <c r="B15" s="60" t="s">
        <v>16</v>
      </c>
      <c r="C15" s="60" t="s">
        <v>154</v>
      </c>
      <c r="E15" s="60" t="s">
        <v>24</v>
      </c>
    </row>
    <row r="16" spans="1:5" x14ac:dyDescent="0.3">
      <c r="A16" s="34">
        <v>120409</v>
      </c>
      <c r="B16" s="34" t="s">
        <v>145</v>
      </c>
      <c r="C16" s="34" t="s">
        <v>147</v>
      </c>
      <c r="E16" s="34" t="s">
        <v>147</v>
      </c>
    </row>
    <row r="17" spans="1:5" x14ac:dyDescent="0.3">
      <c r="A17" s="34">
        <v>106483</v>
      </c>
      <c r="B17" s="34" t="s">
        <v>146</v>
      </c>
      <c r="C17" s="34" t="s">
        <v>148</v>
      </c>
      <c r="E17" s="34" t="s">
        <v>148</v>
      </c>
    </row>
    <row r="18" spans="1:5" x14ac:dyDescent="0.3">
      <c r="A18" s="34">
        <v>106467</v>
      </c>
      <c r="B18" s="34" t="s">
        <v>149</v>
      </c>
      <c r="C18" s="34" t="s">
        <v>22</v>
      </c>
      <c r="E18" s="34" t="s">
        <v>22</v>
      </c>
    </row>
    <row r="19" spans="1:5" x14ac:dyDescent="0.3">
      <c r="A19" s="34">
        <v>120101</v>
      </c>
      <c r="B19" s="34" t="s">
        <v>150</v>
      </c>
      <c r="C19" s="34" t="s">
        <v>22</v>
      </c>
      <c r="E19" s="34" t="s">
        <v>22</v>
      </c>
    </row>
    <row r="20" spans="1:5" x14ac:dyDescent="0.3">
      <c r="A20" s="34">
        <v>127186</v>
      </c>
      <c r="B20" s="34" t="s">
        <v>151</v>
      </c>
      <c r="C20" s="59" t="s">
        <v>152</v>
      </c>
      <c r="E20" s="59" t="s">
        <v>152</v>
      </c>
    </row>
    <row r="21" spans="1:5" x14ac:dyDescent="0.3">
      <c r="A21" s="34">
        <v>124968</v>
      </c>
      <c r="B21" s="34" t="s">
        <v>211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D21-03A7-432B-88E4-F49C7FD62C10}">
  <dimension ref="B2:G36"/>
  <sheetViews>
    <sheetView topLeftCell="A19" workbookViewId="0">
      <selection activeCell="B31" sqref="B31:E31"/>
    </sheetView>
  </sheetViews>
  <sheetFormatPr baseColWidth="10" defaultRowHeight="14.4" x14ac:dyDescent="0.3"/>
  <cols>
    <col min="2" max="2" width="11.5546875" style="9"/>
    <col min="3" max="3" width="55.5546875" style="9" customWidth="1"/>
    <col min="4" max="4" width="60.77734375" style="9" customWidth="1"/>
  </cols>
  <sheetData>
    <row r="2" spans="2:5" x14ac:dyDescent="0.3">
      <c r="B2" s="98" t="s">
        <v>107</v>
      </c>
      <c r="C2" s="99"/>
      <c r="D2" s="99"/>
      <c r="E2" s="99"/>
    </row>
    <row r="3" spans="2:5" x14ac:dyDescent="0.3">
      <c r="B3" s="19" t="s">
        <v>0</v>
      </c>
      <c r="C3" s="19" t="s">
        <v>1</v>
      </c>
      <c r="D3" s="19" t="s">
        <v>25</v>
      </c>
    </row>
    <row r="4" spans="2:5" x14ac:dyDescent="0.3">
      <c r="B4" s="105">
        <v>120365</v>
      </c>
      <c r="C4" s="105" t="s">
        <v>6</v>
      </c>
      <c r="D4" s="18" t="s">
        <v>98</v>
      </c>
      <c r="E4" s="23">
        <v>50</v>
      </c>
    </row>
    <row r="5" spans="2:5" x14ac:dyDescent="0.3">
      <c r="B5" s="105"/>
      <c r="C5" s="105"/>
      <c r="D5" s="18" t="s">
        <v>99</v>
      </c>
      <c r="E5" s="23">
        <v>50</v>
      </c>
    </row>
    <row r="6" spans="2:5" x14ac:dyDescent="0.3">
      <c r="B6" s="105"/>
      <c r="C6" s="105"/>
      <c r="D6" s="18" t="s">
        <v>100</v>
      </c>
      <c r="E6" s="23">
        <v>50</v>
      </c>
    </row>
    <row r="7" spans="2:5" x14ac:dyDescent="0.3">
      <c r="B7" s="104">
        <v>124930</v>
      </c>
      <c r="C7" s="104" t="s">
        <v>3</v>
      </c>
      <c r="D7" s="18" t="s">
        <v>101</v>
      </c>
      <c r="E7" s="23">
        <v>50</v>
      </c>
    </row>
    <row r="8" spans="2:5" x14ac:dyDescent="0.3">
      <c r="B8" s="104"/>
      <c r="C8" s="104"/>
      <c r="D8" s="17" t="s">
        <v>66</v>
      </c>
      <c r="E8" s="23">
        <v>50</v>
      </c>
    </row>
    <row r="9" spans="2:5" x14ac:dyDescent="0.3">
      <c r="B9" s="104"/>
      <c r="C9" s="104"/>
      <c r="D9" s="18" t="s">
        <v>102</v>
      </c>
      <c r="E9" s="23">
        <v>50</v>
      </c>
    </row>
    <row r="10" spans="2:5" x14ac:dyDescent="0.3">
      <c r="B10" s="104">
        <v>102383</v>
      </c>
      <c r="C10" s="104" t="s">
        <v>4</v>
      </c>
      <c r="D10" s="18" t="s">
        <v>103</v>
      </c>
      <c r="E10" s="23">
        <v>50</v>
      </c>
    </row>
    <row r="11" spans="2:5" x14ac:dyDescent="0.3">
      <c r="B11" s="104"/>
      <c r="C11" s="104"/>
      <c r="D11" s="18" t="s">
        <v>104</v>
      </c>
      <c r="E11" s="23">
        <v>50</v>
      </c>
    </row>
    <row r="12" spans="2:5" x14ac:dyDescent="0.3">
      <c r="B12" s="104">
        <v>106565</v>
      </c>
      <c r="C12" s="104" t="s">
        <v>14</v>
      </c>
      <c r="D12" s="20" t="s">
        <v>105</v>
      </c>
      <c r="E12" s="22">
        <v>50</v>
      </c>
    </row>
    <row r="13" spans="2:5" x14ac:dyDescent="0.3">
      <c r="B13" s="104"/>
      <c r="C13" s="104"/>
      <c r="D13" s="21" t="s">
        <v>106</v>
      </c>
      <c r="E13" s="23">
        <v>50</v>
      </c>
    </row>
    <row r="14" spans="2:5" x14ac:dyDescent="0.3">
      <c r="E14">
        <f>SUM(E4:E13)</f>
        <v>500</v>
      </c>
    </row>
    <row r="19" spans="2:7" x14ac:dyDescent="0.3">
      <c r="D19" s="9" t="s">
        <v>116</v>
      </c>
    </row>
    <row r="22" spans="2:7" x14ac:dyDescent="0.3">
      <c r="B22" s="98" t="s">
        <v>144</v>
      </c>
      <c r="C22" s="99"/>
      <c r="D22" s="99"/>
      <c r="E22" s="99"/>
    </row>
    <row r="23" spans="2:7" x14ac:dyDescent="0.3">
      <c r="B23" s="19" t="s">
        <v>0</v>
      </c>
      <c r="C23" s="19" t="s">
        <v>1</v>
      </c>
      <c r="D23" s="19" t="s">
        <v>25</v>
      </c>
    </row>
    <row r="24" spans="2:7" ht="14.4" customHeight="1" x14ac:dyDescent="0.3">
      <c r="B24" s="97">
        <v>124930</v>
      </c>
      <c r="C24" s="97" t="s">
        <v>3</v>
      </c>
      <c r="D24" s="68" t="s">
        <v>102</v>
      </c>
      <c r="E24" s="58">
        <v>50</v>
      </c>
      <c r="F24" s="100" t="s">
        <v>174</v>
      </c>
      <c r="G24" s="101">
        <v>50</v>
      </c>
    </row>
    <row r="25" spans="2:7" x14ac:dyDescent="0.3">
      <c r="B25" s="97"/>
      <c r="C25" s="97"/>
      <c r="D25" s="69" t="s">
        <v>175</v>
      </c>
      <c r="E25" s="58">
        <v>50</v>
      </c>
      <c r="F25" s="100"/>
      <c r="G25" s="102"/>
    </row>
    <row r="26" spans="2:7" x14ac:dyDescent="0.3">
      <c r="B26" s="97">
        <v>102383</v>
      </c>
      <c r="C26" s="97" t="s">
        <v>4</v>
      </c>
      <c r="D26" s="68" t="s">
        <v>103</v>
      </c>
      <c r="E26" s="58">
        <v>50</v>
      </c>
      <c r="F26" s="100"/>
      <c r="G26" s="102"/>
    </row>
    <row r="27" spans="2:7" x14ac:dyDescent="0.3">
      <c r="B27" s="97"/>
      <c r="C27" s="97"/>
      <c r="D27" s="18" t="s">
        <v>104</v>
      </c>
      <c r="E27" s="58">
        <v>50</v>
      </c>
      <c r="F27" s="100"/>
      <c r="G27" s="103"/>
    </row>
    <row r="31" spans="2:7" x14ac:dyDescent="0.3">
      <c r="B31" s="98" t="s">
        <v>222</v>
      </c>
      <c r="C31" s="99"/>
      <c r="D31" s="99"/>
      <c r="E31" s="99"/>
    </row>
    <row r="32" spans="2:7" x14ac:dyDescent="0.3">
      <c r="B32" s="19" t="s">
        <v>0</v>
      </c>
      <c r="C32" s="19" t="s">
        <v>1</v>
      </c>
      <c r="D32" s="19" t="s">
        <v>25</v>
      </c>
    </row>
    <row r="33" spans="2:5" x14ac:dyDescent="0.3">
      <c r="B33" s="97">
        <v>124930</v>
      </c>
      <c r="C33" s="97" t="s">
        <v>3</v>
      </c>
      <c r="D33" s="68" t="s">
        <v>102</v>
      </c>
      <c r="E33" s="58">
        <v>50</v>
      </c>
    </row>
    <row r="34" spans="2:5" x14ac:dyDescent="0.3">
      <c r="B34" s="97"/>
      <c r="C34" s="97"/>
      <c r="D34" s="69" t="s">
        <v>175</v>
      </c>
      <c r="E34" s="58">
        <v>50</v>
      </c>
    </row>
    <row r="35" spans="2:5" x14ac:dyDescent="0.3">
      <c r="B35" s="97">
        <v>102383</v>
      </c>
      <c r="C35" s="97" t="s">
        <v>4</v>
      </c>
      <c r="D35" s="68" t="s">
        <v>103</v>
      </c>
      <c r="E35" s="58">
        <v>50</v>
      </c>
    </row>
    <row r="36" spans="2:5" x14ac:dyDescent="0.3">
      <c r="B36" s="97"/>
      <c r="C36" s="97"/>
      <c r="D36" s="18" t="s">
        <v>104</v>
      </c>
      <c r="E36" s="58">
        <v>50</v>
      </c>
    </row>
  </sheetData>
  <mergeCells count="21">
    <mergeCell ref="C12:C13"/>
    <mergeCell ref="B12:B13"/>
    <mergeCell ref="B2:E2"/>
    <mergeCell ref="B4:B6"/>
    <mergeCell ref="C4:C6"/>
    <mergeCell ref="B7:B9"/>
    <mergeCell ref="C7:C9"/>
    <mergeCell ref="B10:B11"/>
    <mergeCell ref="C10:C11"/>
    <mergeCell ref="F24:F27"/>
    <mergeCell ref="G24:G27"/>
    <mergeCell ref="B26:B27"/>
    <mergeCell ref="C26:C27"/>
    <mergeCell ref="B22:E22"/>
    <mergeCell ref="B24:B25"/>
    <mergeCell ref="C24:C25"/>
    <mergeCell ref="C33:C34"/>
    <mergeCell ref="C35:C36"/>
    <mergeCell ref="B31:E31"/>
    <mergeCell ref="B33:B34"/>
    <mergeCell ref="B35:B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7F389-3627-49DD-ADD5-6A0B0514F328}">
  <dimension ref="B2:C17"/>
  <sheetViews>
    <sheetView workbookViewId="0">
      <selection activeCell="B15" sqref="B15"/>
    </sheetView>
  </sheetViews>
  <sheetFormatPr baseColWidth="10" defaultRowHeight="14.4" x14ac:dyDescent="0.3"/>
  <cols>
    <col min="3" max="3" width="48.6640625" customWidth="1"/>
  </cols>
  <sheetData>
    <row r="2" spans="2:3" ht="15.6" x14ac:dyDescent="0.3">
      <c r="B2" s="44" t="s">
        <v>142</v>
      </c>
      <c r="C2" s="44" t="s">
        <v>143</v>
      </c>
    </row>
    <row r="3" spans="2:3" x14ac:dyDescent="0.3">
      <c r="B3" s="52">
        <v>124930</v>
      </c>
      <c r="C3" s="53" t="str">
        <f>VLOOKUP(B3, Terminales!$A$1:$B$15, 2, FALSE)</f>
        <v>TIENDA MAGDALENA AV. JOSE GALVEZ N°695</v>
      </c>
    </row>
    <row r="4" spans="2:3" x14ac:dyDescent="0.3">
      <c r="B4" s="54">
        <v>124930</v>
      </c>
      <c r="C4" s="53" t="str">
        <f>VLOOKUP(B4, Terminales!$A$1:$B$15, 2, FALSE)</f>
        <v>TIENDA MAGDALENA AV. JOSE GALVEZ N°695</v>
      </c>
    </row>
    <row r="5" spans="2:3" x14ac:dyDescent="0.3">
      <c r="B5" s="55">
        <v>124930</v>
      </c>
      <c r="C5" s="53" t="str">
        <f>VLOOKUP(B5, Terminales!$A$1:$B$15, 2, FALSE)</f>
        <v>TIENDA MAGDALENA AV. JOSE GALVEZ N°695</v>
      </c>
    </row>
    <row r="6" spans="2:3" x14ac:dyDescent="0.3">
      <c r="B6" s="52">
        <v>124930</v>
      </c>
      <c r="C6" s="53" t="str">
        <f>VLOOKUP(B6, Terminales!$A$1:$B$15, 2, FALSE)</f>
        <v>TIENDA MAGDALENA AV. JOSE GALVEZ N°695</v>
      </c>
    </row>
    <row r="7" spans="2:3" x14ac:dyDescent="0.3">
      <c r="B7" s="54">
        <v>124930</v>
      </c>
      <c r="C7" s="53" t="str">
        <f>VLOOKUP(B7, Terminales!$A$1:$B$15, 2, FALSE)</f>
        <v>TIENDA MAGDALENA AV. JOSE GALVEZ N°695</v>
      </c>
    </row>
    <row r="8" spans="2:3" x14ac:dyDescent="0.3">
      <c r="B8" s="54">
        <v>124930</v>
      </c>
      <c r="C8" s="53" t="str">
        <f>VLOOKUP(B8, Terminales!$A$1:$B$15, 2, FALSE)</f>
        <v>TIENDA MAGDALENA AV. JOSE GALVEZ N°695</v>
      </c>
    </row>
    <row r="9" spans="2:3" x14ac:dyDescent="0.3">
      <c r="B9" s="45">
        <v>120378</v>
      </c>
      <c r="C9" s="46" t="str">
        <f>VLOOKUP(B9, Terminales!$A$1:$B$15, 2, FALSE)</f>
        <v>TIENDA METRO SAN MIGUEL AV LA MARINA</v>
      </c>
    </row>
    <row r="10" spans="2:3" x14ac:dyDescent="0.3">
      <c r="B10" s="56">
        <v>125124</v>
      </c>
      <c r="C10" s="57" t="str">
        <f>VLOOKUP(B10, Terminales!$A$1:$B$15, 2, FALSE)</f>
        <v>TIENDA PLAZA VEA CAMINOS DEL INCA</v>
      </c>
    </row>
    <row r="11" spans="2:3" x14ac:dyDescent="0.3">
      <c r="B11" s="56">
        <v>125124</v>
      </c>
      <c r="C11" s="57" t="str">
        <f>VLOOKUP(B11, Terminales!$A$1:$B$15, 2, FALSE)</f>
        <v>TIENDA PLAZA VEA CAMINOS DEL INCA</v>
      </c>
    </row>
    <row r="12" spans="2:3" x14ac:dyDescent="0.3">
      <c r="B12" s="47">
        <v>125113</v>
      </c>
      <c r="C12" s="48" t="str">
        <f>VLOOKUP(B12, Terminales!$A$1:$B$15, 2, FALSE)</f>
        <v>TIENDA SJM AV. VARGAS MACHUCA N°314</v>
      </c>
    </row>
    <row r="13" spans="2:3" x14ac:dyDescent="0.3">
      <c r="B13" s="35">
        <v>120516</v>
      </c>
      <c r="C13" s="34" t="str">
        <f>VLOOKUP(B13, Terminales!$A$1:$B$15, 2, FALSE)</f>
        <v>TIENDA SURCO AV ENCALADA</v>
      </c>
    </row>
    <row r="14" spans="2:3" x14ac:dyDescent="0.3">
      <c r="B14" s="30">
        <v>120365</v>
      </c>
      <c r="C14" s="29" t="str">
        <f>VLOOKUP(B14, Terminales!$A$1:$B$15, 2, FALSE)</f>
        <v>TIENDA WONG ALDABAS SURCO AV BENAVIDES CDRA 52</v>
      </c>
    </row>
    <row r="15" spans="2:3" x14ac:dyDescent="0.3">
      <c r="B15" s="49">
        <v>102383</v>
      </c>
      <c r="C15" s="50" t="str">
        <f>VLOOKUP(B15, Terminales!$A$1:$B$15, 2, FALSE)</f>
        <v>WONG SAN MIGUEL I-PUERTA 2</v>
      </c>
    </row>
    <row r="16" spans="2:3" x14ac:dyDescent="0.3">
      <c r="B16" s="49">
        <v>102383</v>
      </c>
      <c r="C16" s="50" t="str">
        <f>VLOOKUP(B16, Terminales!$A$1:$B$15, 2, FALSE)</f>
        <v>WONG SAN MIGUEL I-PUERTA 2</v>
      </c>
    </row>
    <row r="17" spans="2:3" x14ac:dyDescent="0.3">
      <c r="B17" s="51">
        <v>102383</v>
      </c>
      <c r="C17" s="50" t="str">
        <f>VLOOKUP(B17, Terminales!$A$1:$B$15, 2, FALSE)</f>
        <v>WONG SAN MIGUEL I-PUERTA 2</v>
      </c>
    </row>
  </sheetData>
  <autoFilter ref="B2:C2" xr:uid="{26A7F389-3627-49DD-ADD5-6A0B0514F328}">
    <sortState xmlns:xlrd2="http://schemas.microsoft.com/office/spreadsheetml/2017/richdata2" ref="B3:C18">
      <sortCondition ref="C2"/>
    </sortState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B4F437-A50F-4F60-B809-8ABC6BE5EF97}">
          <x14:formula1>
            <xm:f>Terminales!$A$1:$A$15</xm:f>
          </x14:formula1>
          <xm:sqref>B3 B5:B7 B10:B17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Piloto</vt:lpstr>
      <vt:lpstr>Detalle1</vt:lpstr>
      <vt:lpstr>Detalle2</vt:lpstr>
      <vt:lpstr>Detalle3</vt:lpstr>
      <vt:lpstr>Cuenta</vt:lpstr>
      <vt:lpstr>Terminales</vt:lpstr>
      <vt:lpstr>Ganadores#1</vt:lpstr>
      <vt:lpstr>Ganadores#2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Morales</dc:creator>
  <cp:lastModifiedBy>Diego Morales</cp:lastModifiedBy>
  <dcterms:created xsi:type="dcterms:W3CDTF">2026-02-09T15:43:46Z</dcterms:created>
  <dcterms:modified xsi:type="dcterms:W3CDTF">2026-10-06T15:42:42Z</dcterms:modified>
</cp:coreProperties>
</file>